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9b11a287a01cd/Documentos/Files freelance/NoCountry_2026/Tablas/para subir al repositorio/"/>
    </mc:Choice>
  </mc:AlternateContent>
  <xr:revisionPtr revIDLastSave="414" documentId="8_{6691F73C-D3A5-4EBB-BD1A-AA7564894FB6}" xr6:coauthVersionLast="47" xr6:coauthVersionMax="47" xr10:uidLastSave="{D1DFD7FF-B055-471A-B545-888C93D2D57B}"/>
  <bookViews>
    <workbookView xWindow="-110" yWindow="-110" windowWidth="19420" windowHeight="11500" xr2:uid="{8C6D0900-8042-4929-B7F1-B5F2C70BB4AB}"/>
  </bookViews>
  <sheets>
    <sheet name="GBD_America_Latina_2023_pacient" sheetId="2" r:id="rId1"/>
  </sheets>
  <definedNames>
    <definedName name="_xlnm._FilterDatabase" localSheetId="0" hidden="1">GBD_America_Latina_2023_pacient!$N$1:$U$22</definedName>
    <definedName name="DatosExternos_1" localSheetId="0" hidden="1">GBD_America_Latina_2023_pacient!$A$1:$D$647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2" l="1"/>
  <c r="P41" i="2"/>
  <c r="P33" i="2"/>
  <c r="U22" i="2"/>
  <c r="U20" i="2"/>
  <c r="U19" i="2"/>
  <c r="U17" i="2"/>
  <c r="U14" i="2"/>
  <c r="U11" i="2"/>
  <c r="U12" i="2"/>
  <c r="U10" i="2"/>
  <c r="U6" i="2"/>
  <c r="U4" i="2"/>
  <c r="U3" i="2"/>
  <c r="U5" i="2"/>
  <c r="U7" i="2"/>
  <c r="U8" i="2"/>
  <c r="U9" i="2"/>
  <c r="U13" i="2"/>
  <c r="U15" i="2"/>
  <c r="U16" i="2"/>
  <c r="U18" i="2"/>
  <c r="U2" i="2"/>
  <c r="O23" i="2" a="1"/>
  <c r="O23" i="2" s="1"/>
  <c r="S20" i="2"/>
  <c r="S19" i="2"/>
  <c r="S17" i="2"/>
  <c r="S14" i="2"/>
  <c r="R14" i="2"/>
  <c r="Q20" i="2" a="1"/>
  <c r="Q20" i="2" s="1"/>
  <c r="R20" i="2" s="1"/>
  <c r="Q19" i="2" a="1"/>
  <c r="Q19" i="2" s="1"/>
  <c r="R19" i="2" s="1"/>
  <c r="Q17" i="2" a="1"/>
  <c r="Q17" i="2" s="1"/>
  <c r="R17" i="2" s="1"/>
  <c r="Q14" i="2" a="1"/>
  <c r="Q14" i="2" s="1"/>
  <c r="P20" i="2" a="1"/>
  <c r="P20" i="2" s="1"/>
  <c r="P19" i="2" a="1"/>
  <c r="P19" i="2" s="1"/>
  <c r="P17" i="2" a="1"/>
  <c r="P17" i="2" s="1"/>
  <c r="P14" i="2" a="1"/>
  <c r="P14" i="2"/>
  <c r="S12" i="2"/>
  <c r="Q12" i="2" a="1"/>
  <c r="Q12" i="2" s="1"/>
  <c r="R12" i="2" s="1"/>
  <c r="P12" i="2" a="1"/>
  <c r="P12" i="2" s="1"/>
  <c r="S11" i="2"/>
  <c r="R11" i="2"/>
  <c r="Q11" i="2" a="1"/>
  <c r="Q11" i="2" s="1"/>
  <c r="P11" i="2" a="1"/>
  <c r="P11" i="2" s="1"/>
  <c r="S10" i="2"/>
  <c r="T10" i="2" s="1"/>
  <c r="S6" i="2"/>
  <c r="R10" i="2"/>
  <c r="R6" i="2"/>
  <c r="Q10" i="2" a="1"/>
  <c r="Q10" i="2" s="1"/>
  <c r="Q6" i="2" a="1"/>
  <c r="Q6" i="2" s="1"/>
  <c r="P10" i="2" a="1"/>
  <c r="P10" i="2" s="1"/>
  <c r="P6" i="2" a="1"/>
  <c r="P6" i="2" s="1"/>
  <c r="S4" i="2"/>
  <c r="R4" i="2"/>
  <c r="Q4" i="2" a="1"/>
  <c r="Q4" i="2" s="1"/>
  <c r="P4" i="2" a="1"/>
  <c r="P4" i="2" s="1"/>
  <c r="P5" i="2" a="1"/>
  <c r="P5" i="2" s="1"/>
  <c r="N2" i="2" a="1"/>
  <c r="N2" i="2" s="1"/>
  <c r="Q2" i="2" s="1" a="1"/>
  <c r="Q2" i="2" s="1"/>
  <c r="T12" i="2" l="1"/>
  <c r="T4" i="2"/>
  <c r="P18" i="2" a="1"/>
  <c r="P18" i="2" s="1"/>
  <c r="P15" i="2" a="1"/>
  <c r="P15" i="2" s="1"/>
  <c r="P8" i="2" a="1"/>
  <c r="P8" i="2" s="1"/>
  <c r="Q8" i="2" a="1"/>
  <c r="Q8" i="2" s="1"/>
  <c r="Q7" i="2" a="1"/>
  <c r="Q7" i="2" s="1"/>
  <c r="P16" i="2" a="1"/>
  <c r="P16" i="2" s="1"/>
  <c r="P3" i="2" a="1"/>
  <c r="P3" i="2" s="1"/>
  <c r="T19" i="2"/>
  <c r="S18" i="2" a="1"/>
  <c r="S18" i="2" s="1"/>
  <c r="T18" i="2" s="1"/>
  <c r="P13" i="2" a="1"/>
  <c r="P13" i="2" s="1"/>
  <c r="Q16" i="2" a="1"/>
  <c r="Q16" i="2" s="1"/>
  <c r="T11" i="2"/>
  <c r="Q15" i="2" a="1"/>
  <c r="Q15" i="2" s="1"/>
  <c r="P2" i="2" a="1"/>
  <c r="P2" i="2" s="1"/>
  <c r="P9" i="2" a="1"/>
  <c r="P9" i="2" s="1"/>
  <c r="S15" i="2" a="1"/>
  <c r="S15" i="2" s="1"/>
  <c r="T15" i="2" s="1"/>
  <c r="S7" i="2" a="1"/>
  <c r="S7" i="2" s="1"/>
  <c r="T7" i="2" s="1"/>
  <c r="Q3" i="2" a="1"/>
  <c r="Q3" i="2" s="1"/>
  <c r="T14" i="2"/>
  <c r="T6" i="2"/>
  <c r="P7" i="2" a="1"/>
  <c r="P7" i="2" s="1"/>
  <c r="Q18" i="2" a="1"/>
  <c r="Q18" i="2" s="1"/>
  <c r="S2" i="2" a="1"/>
  <c r="S2" i="2" s="1"/>
  <c r="T2" i="2" s="1"/>
  <c r="S13" i="2" a="1"/>
  <c r="S13" i="2" s="1"/>
  <c r="T13" i="2" s="1"/>
  <c r="S5" i="2" a="1"/>
  <c r="S5" i="2" s="1"/>
  <c r="T5" i="2" s="1"/>
  <c r="Q9" i="2" a="1"/>
  <c r="Q9" i="2" s="1"/>
  <c r="T20" i="2"/>
  <c r="S3" i="2" a="1"/>
  <c r="S3" i="2" s="1"/>
  <c r="T3" i="2" s="1"/>
  <c r="S9" i="2" a="1"/>
  <c r="S9" i="2" s="1"/>
  <c r="T9" i="2" s="1"/>
  <c r="T17" i="2"/>
  <c r="Q13" i="2" a="1"/>
  <c r="Q13" i="2" s="1"/>
  <c r="Q5" i="2" a="1"/>
  <c r="Q5" i="2" s="1"/>
  <c r="S16" i="2" a="1"/>
  <c r="S16" i="2" s="1"/>
  <c r="T16" i="2" s="1"/>
  <c r="S8" i="2" a="1"/>
  <c r="S8" i="2" s="1"/>
  <c r="T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tc={F3790574-6332-4EC6-86C1-CE08ADE76E47}</author>
  </authors>
  <commentList>
    <comment ref="O8" authorId="0" shapeId="0" xr:uid="{F3790574-6332-4EC6-86C1-CE08ADE76E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 bajo R pero es más probable que continúe una tendencia incremental en vez de tomar la línea de tendencia polinómica grado 3 que predice un decrecimiento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BA76A9-37E0-4B25-94DD-05134CFE36CB}" keepAlive="1" name="Consulta - GBD_America_Latina_2023_pacientes_renales_metrica_num" description="Conexión a la consulta 'GBD_America_Latina_2023_pacientes_renales_metrica_num' en el libro." type="5" refreshedVersion="8" background="1" saveData="1">
    <dbPr connection="Provider=Microsoft.Mashup.OleDb.1;Data Source=$Workbook$;Location=GBD_America_Latina_2023_pacientes_renales_metrica_num;Extended Properties=&quot;&quot;" command="SELECT * FROM [GBD_America_Latina_2023_pacientes_renales_metrica_nu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<sst xmlns="http://schemas.openxmlformats.org/spreadsheetml/2006/main" count="1348" uniqueCount="57">
  <si>
    <t>Año</t>
  </si>
  <si>
    <t>Causa de muerte o lesión</t>
  </si>
  <si>
    <t>Valor</t>
  </si>
  <si>
    <t>Argentina</t>
  </si>
  <si>
    <t>Enfermedad renal crónica</t>
  </si>
  <si>
    <t>Estados Unidos de América</t>
  </si>
  <si>
    <t>Perú</t>
  </si>
  <si>
    <t>México</t>
  </si>
  <si>
    <t>Brasil</t>
  </si>
  <si>
    <t>Bolivia</t>
  </si>
  <si>
    <t>Ecuador</t>
  </si>
  <si>
    <t>Colombia</t>
  </si>
  <si>
    <t>Venezuela</t>
  </si>
  <si>
    <t>Paraguay</t>
  </si>
  <si>
    <t>Guyana</t>
  </si>
  <si>
    <t>Chile</t>
  </si>
  <si>
    <t>Costa Rica</t>
  </si>
  <si>
    <t>El Salvador</t>
  </si>
  <si>
    <t>Nicaragua</t>
  </si>
  <si>
    <t>Guatemala</t>
  </si>
  <si>
    <t>Cuba</t>
  </si>
  <si>
    <t>República Dominicana</t>
  </si>
  <si>
    <t>Honduras</t>
  </si>
  <si>
    <t>País</t>
  </si>
  <si>
    <t>Línea de tendencia con mayor R</t>
  </si>
  <si>
    <t>Extrapolación 2026</t>
  </si>
  <si>
    <t>Mayor/menor</t>
  </si>
  <si>
    <t>Lineal (R2=0,8189)</t>
  </si>
  <si>
    <t>Exponencial (R2=0,8981)</t>
  </si>
  <si>
    <t>Lineal (R2=0,9367)</t>
  </si>
  <si>
    <t>Exponencial (R2=0,9859)</t>
  </si>
  <si>
    <t>Lineal (R2=0,9688)</t>
  </si>
  <si>
    <t>Lineal (R2=0,9596)</t>
  </si>
  <si>
    <t>Exponencial (R2=0,9901)</t>
  </si>
  <si>
    <t>Exponencial (R2=0,9811)</t>
  </si>
  <si>
    <t>Exponencial (R2=0,9728)</t>
  </si>
  <si>
    <t>Lineal (R2=0,946)</t>
  </si>
  <si>
    <t>Lineal (R2=0,9925)</t>
  </si>
  <si>
    <t>Lineal (R2=0,9743)</t>
  </si>
  <si>
    <t>Exponencial (R2=0,9686)</t>
  </si>
  <si>
    <t>Lineal (R2=0,9719)</t>
  </si>
  <si>
    <t>Exponencial (R2=0,9907)</t>
  </si>
  <si>
    <t>Exponencial (R2=0,9954)</t>
  </si>
  <si>
    <t>m (lineal) o k (exponencial)</t>
  </si>
  <si>
    <t>b (lineal) o  ln(a) (exp)</t>
  </si>
  <si>
    <t>a (exponencial)</t>
  </si>
  <si>
    <t>Haití</t>
  </si>
  <si>
    <t>Panamá</t>
  </si>
  <si>
    <t>Uruguay</t>
  </si>
  <si>
    <t>Lineal (R2=0,4981)</t>
  </si>
  <si>
    <t>tasa incremento anual</t>
  </si>
  <si>
    <t>Tasa interanual caso lineal</t>
  </si>
  <si>
    <t>Tasa interanual caso exponencial</t>
  </si>
  <si>
    <t>PROMEDIO TASA LATAM</t>
  </si>
  <si>
    <t>*supongo número de casos igual a Cuba, considerando similitudes en número de población y número de hospitales (camas, quirífanos) disponibles</t>
  </si>
  <si>
    <t>*supongo número de casos igual a Costa Rica, considerando similitudes en número de población y número de hospitales (camas, quirífanos) disponibles</t>
  </si>
  <si>
    <t>*supongo número de casos igual a Costa Rica, considerando población y hospitales disponibles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</si>
</sst>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0" fillId="0" borderId="0" xfId="0" applyAlignment="1">
      <alignment wrapText="1"/>
    </xf>
    <xf numFmtId="0" fontId="0" fillId="3" borderId="0" xfId="0" applyFill="1"/>
    <xf numFmtId="164" fontId="0" fillId="0" borderId="4" xfId="1" applyNumberFormat="1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3" borderId="10" xfId="0" applyFill="1" applyBorder="1"/>
    <xf numFmtId="164" fontId="0" fillId="0" borderId="6" xfId="1" applyNumberFormat="1" applyFont="1" applyBorder="1"/>
    <xf numFmtId="0" fontId="0" fillId="3" borderId="2" xfId="0" applyFill="1" applyBorder="1"/>
    <xf numFmtId="0" fontId="0" fillId="3" borderId="4" xfId="0" applyFill="1" applyBorder="1" applyAlignment="1">
      <alignment wrapText="1"/>
    </xf>
    <xf numFmtId="0" fontId="0" fillId="3" borderId="4" xfId="0" applyFill="1" applyBorder="1"/>
    <xf numFmtId="0" fontId="0" fillId="3" borderId="6" xfId="0" applyFill="1" applyBorder="1"/>
  </cellXfs>
  <cellStyles count="2">
    <cellStyle name="Normal" xfId="0" builtinId="0"/>
    <cellStyle name="Porcentaje" xfId="1" builtinId="5"/>
  </cellStyles>
  <dxfs count="3"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200" b="1"/>
              <a:t>Tendencia casos</a:t>
            </a:r>
            <a:r>
              <a:rPr lang="it-IT" sz="1200" b="1" baseline="0"/>
              <a:t> pacientes renales por país de LATAM</a:t>
            </a:r>
            <a:endParaRPr lang="it-IT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GBD_America_Latina_2023_pacient!$A$28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GBD_America_Latina_2023_pacient!$B$2:$B$35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GBD_America_Latina_2023_pacient!$D$2:$D$35</c:f>
              <c:numCache>
                <c:formatCode>0.00</c:formatCode>
                <c:ptCount val="34"/>
                <c:pt idx="0">
                  <c:v>222577.97153561283</c:v>
                </c:pt>
                <c:pt idx="1">
                  <c:v>229805.7483190413</c:v>
                </c:pt>
                <c:pt idx="2">
                  <c:v>238479.41158874184</c:v>
                </c:pt>
                <c:pt idx="3">
                  <c:v>241145.17054545102</c:v>
                </c:pt>
                <c:pt idx="4">
                  <c:v>233355.90481202913</c:v>
                </c:pt>
                <c:pt idx="5">
                  <c:v>241768.80155775018</c:v>
                </c:pt>
                <c:pt idx="6">
                  <c:v>244915.21916001878</c:v>
                </c:pt>
                <c:pt idx="7">
                  <c:v>257498.10110643471</c:v>
                </c:pt>
                <c:pt idx="8">
                  <c:v>270810.47574840207</c:v>
                </c:pt>
                <c:pt idx="9">
                  <c:v>280357.73737956665</c:v>
                </c:pt>
                <c:pt idx="10">
                  <c:v>280310.97954060859</c:v>
                </c:pt>
                <c:pt idx="11">
                  <c:v>292641.12131340167</c:v>
                </c:pt>
                <c:pt idx="12">
                  <c:v>305433.60441681411</c:v>
                </c:pt>
                <c:pt idx="13">
                  <c:v>308417.99786950939</c:v>
                </c:pt>
                <c:pt idx="14">
                  <c:v>298608.78165371413</c:v>
                </c:pt>
                <c:pt idx="15">
                  <c:v>295109.95363306883</c:v>
                </c:pt>
                <c:pt idx="16">
                  <c:v>299109.09663216711</c:v>
                </c:pt>
                <c:pt idx="17">
                  <c:v>319678.05877793935</c:v>
                </c:pt>
                <c:pt idx="18">
                  <c:v>306597.64546390879</c:v>
                </c:pt>
                <c:pt idx="19">
                  <c:v>307765.63333693886</c:v>
                </c:pt>
                <c:pt idx="20">
                  <c:v>320110.42367635644</c:v>
                </c:pt>
                <c:pt idx="21">
                  <c:v>315687.32873516908</c:v>
                </c:pt>
                <c:pt idx="22">
                  <c:v>314791.59484857513</c:v>
                </c:pt>
                <c:pt idx="23">
                  <c:v>316227.80717107432</c:v>
                </c:pt>
                <c:pt idx="24">
                  <c:v>308509.80744792341</c:v>
                </c:pt>
                <c:pt idx="25">
                  <c:v>308159.89210838941</c:v>
                </c:pt>
                <c:pt idx="26">
                  <c:v>318009.58579749486</c:v>
                </c:pt>
                <c:pt idx="27">
                  <c:v>310241.87688753055</c:v>
                </c:pt>
                <c:pt idx="28">
                  <c:v>312755.69224162668</c:v>
                </c:pt>
                <c:pt idx="29">
                  <c:v>315511.76928261796</c:v>
                </c:pt>
                <c:pt idx="30">
                  <c:v>307221.89072576165</c:v>
                </c:pt>
                <c:pt idx="31">
                  <c:v>337330.52601090295</c:v>
                </c:pt>
                <c:pt idx="32">
                  <c:v>380663.26970924472</c:v>
                </c:pt>
                <c:pt idx="33">
                  <c:v>364739.19099083386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2-4243-929C-ADFD4FA55A77}"/>
            </c:ext>
          </c:extLst>
        </c:ser>
        <c:ser>
          <c:idx val="1"/>
          <c:order val="1"/>
          <c:tx>
            <c:strRef>
              <c:f>GBD_America_Latina_2023_pacient!$A$70</c:f>
              <c:strCache>
                <c:ptCount val="1"/>
                <c:pt idx="0">
                  <c:v>Perú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GBD_America_Latina_2023_pacient!$B$2:$B$35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  <c:extLst xmlns:c15="http://schemas.microsoft.com/office/drawing/2012/chart"/>
            </c:numRef>
          </c:xVal>
          <c:yVal>
            <c:numRef>
              <c:f>GBD_America_Latina_2023_pacient!$D$70:$D$103</c:f>
              <c:numCache>
                <c:formatCode>0.00</c:formatCode>
                <c:ptCount val="34"/>
                <c:pt idx="0">
                  <c:v>84601.067581701704</c:v>
                </c:pt>
                <c:pt idx="1">
                  <c:v>89308.680626393863</c:v>
                </c:pt>
                <c:pt idx="2">
                  <c:v>95380.788974714393</c:v>
                </c:pt>
                <c:pt idx="3">
                  <c:v>102311.19291849702</c:v>
                </c:pt>
                <c:pt idx="4">
                  <c:v>108684.37903003077</c:v>
                </c:pt>
                <c:pt idx="5">
                  <c:v>114754.29268008642</c:v>
                </c:pt>
                <c:pt idx="6">
                  <c:v>120770.49149504026</c:v>
                </c:pt>
                <c:pt idx="7">
                  <c:v>121734.59027233746</c:v>
                </c:pt>
                <c:pt idx="8">
                  <c:v>122260.17108689545</c:v>
                </c:pt>
                <c:pt idx="9">
                  <c:v>122935.73541876732</c:v>
                </c:pt>
                <c:pt idx="10">
                  <c:v>121609.69843245503</c:v>
                </c:pt>
                <c:pt idx="11">
                  <c:v>122751.19065623741</c:v>
                </c:pt>
                <c:pt idx="12">
                  <c:v>126285.59802490796</c:v>
                </c:pt>
                <c:pt idx="13">
                  <c:v>134095.25853969928</c:v>
                </c:pt>
                <c:pt idx="14">
                  <c:v>140031.19540215837</c:v>
                </c:pt>
                <c:pt idx="15">
                  <c:v>139631.43893732218</c:v>
                </c:pt>
                <c:pt idx="16">
                  <c:v>137697.10858958308</c:v>
                </c:pt>
                <c:pt idx="17">
                  <c:v>143393.569974577</c:v>
                </c:pt>
                <c:pt idx="18">
                  <c:v>149746.65641820082</c:v>
                </c:pt>
                <c:pt idx="19">
                  <c:v>155301.16983968925</c:v>
                </c:pt>
                <c:pt idx="20">
                  <c:v>160076.81577672774</c:v>
                </c:pt>
                <c:pt idx="21">
                  <c:v>158628.5839442162</c:v>
                </c:pt>
                <c:pt idx="22">
                  <c:v>156470.6706134686</c:v>
                </c:pt>
                <c:pt idx="23">
                  <c:v>152646.62876578595</c:v>
                </c:pt>
                <c:pt idx="24">
                  <c:v>148342.10257806056</c:v>
                </c:pt>
                <c:pt idx="25">
                  <c:v>145477.85983717188</c:v>
                </c:pt>
                <c:pt idx="26">
                  <c:v>150756.83430326681</c:v>
                </c:pt>
                <c:pt idx="27">
                  <c:v>166821.6664376093</c:v>
                </c:pt>
                <c:pt idx="28">
                  <c:v>176645.65717779979</c:v>
                </c:pt>
                <c:pt idx="29">
                  <c:v>185528.64826033174</c:v>
                </c:pt>
                <c:pt idx="30">
                  <c:v>190883.45251400399</c:v>
                </c:pt>
                <c:pt idx="31">
                  <c:v>225806.49075067625</c:v>
                </c:pt>
                <c:pt idx="32">
                  <c:v>216169.34716959918</c:v>
                </c:pt>
                <c:pt idx="33">
                  <c:v>226590.15881758335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6C2-4243-929C-ADFD4FA55A77}"/>
            </c:ext>
          </c:extLst>
        </c:ser>
        <c:ser>
          <c:idx val="2"/>
          <c:order val="2"/>
          <c:tx>
            <c:strRef>
              <c:f>GBD_America_Latina_2023_pacient!$A$105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GBD_America_Latina_2023_pacient!$B$104:$B$137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GBD_America_Latina_2023_pacient!$D$104:$D$137</c:f>
              <c:numCache>
                <c:formatCode>0.00</c:formatCode>
                <c:ptCount val="34"/>
                <c:pt idx="0">
                  <c:v>499408.72490497917</c:v>
                </c:pt>
                <c:pt idx="1">
                  <c:v>524636.92061153136</c:v>
                </c:pt>
                <c:pt idx="2">
                  <c:v>543412.83843085053</c:v>
                </c:pt>
                <c:pt idx="3">
                  <c:v>565212.26281003084</c:v>
                </c:pt>
                <c:pt idx="4">
                  <c:v>582467.78884494782</c:v>
                </c:pt>
                <c:pt idx="5">
                  <c:v>607538.40085502248</c:v>
                </c:pt>
                <c:pt idx="6">
                  <c:v>633883.69757800188</c:v>
                </c:pt>
                <c:pt idx="7">
                  <c:v>682504.17639366351</c:v>
                </c:pt>
                <c:pt idx="8">
                  <c:v>843712.7640819751</c:v>
                </c:pt>
                <c:pt idx="9">
                  <c:v>934284.72556972224</c:v>
                </c:pt>
                <c:pt idx="10">
                  <c:v>1030379.6660896885</c:v>
                </c:pt>
                <c:pt idx="11">
                  <c:v>1094212.9221140209</c:v>
                </c:pt>
                <c:pt idx="12">
                  <c:v>1136993.6463253924</c:v>
                </c:pt>
                <c:pt idx="13">
                  <c:v>1197034.4208367723</c:v>
                </c:pt>
                <c:pt idx="14">
                  <c:v>1253567.690163281</c:v>
                </c:pt>
                <c:pt idx="15">
                  <c:v>1314141.4637165093</c:v>
                </c:pt>
                <c:pt idx="16">
                  <c:v>1425434.2808100395</c:v>
                </c:pt>
                <c:pt idx="17">
                  <c:v>1570801.2954079239</c:v>
                </c:pt>
                <c:pt idx="18">
                  <c:v>1682183.6290442073</c:v>
                </c:pt>
                <c:pt idx="19">
                  <c:v>1681375.0033700955</c:v>
                </c:pt>
                <c:pt idx="20">
                  <c:v>1762830.7384133188</c:v>
                </c:pt>
                <c:pt idx="21">
                  <c:v>1779961.2501542736</c:v>
                </c:pt>
                <c:pt idx="22">
                  <c:v>1824955.906802142</c:v>
                </c:pt>
                <c:pt idx="23">
                  <c:v>1840090.1457446425</c:v>
                </c:pt>
                <c:pt idx="24">
                  <c:v>1842587.3354697963</c:v>
                </c:pt>
                <c:pt idx="25">
                  <c:v>1953202.3642454275</c:v>
                </c:pt>
                <c:pt idx="26">
                  <c:v>2024239.3834688405</c:v>
                </c:pt>
                <c:pt idx="27">
                  <c:v>2031606.5122121151</c:v>
                </c:pt>
                <c:pt idx="28">
                  <c:v>1917747.8585441699</c:v>
                </c:pt>
                <c:pt idx="29">
                  <c:v>1941052.6779159694</c:v>
                </c:pt>
                <c:pt idx="30">
                  <c:v>1993480.3429565714</c:v>
                </c:pt>
                <c:pt idx="31">
                  <c:v>2028264.58589256</c:v>
                </c:pt>
                <c:pt idx="32">
                  <c:v>1893005.2583444915</c:v>
                </c:pt>
                <c:pt idx="33">
                  <c:v>1916204.0331091201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57C-4D63-BC5F-0B1F22CEFF6D}"/>
            </c:ext>
          </c:extLst>
        </c:ser>
        <c:ser>
          <c:idx val="3"/>
          <c:order val="3"/>
          <c:tx>
            <c:strRef>
              <c:f>GBD_America_Latina_2023_pacient!$A$138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#,##0.0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GBD_America_Latina_2023_pacient!$B$138:$B$171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GBD_America_Latina_2023_pacient!$D$138:$D$171</c:f>
              <c:numCache>
                <c:formatCode>0.00</c:formatCode>
                <c:ptCount val="34"/>
                <c:pt idx="0">
                  <c:v>570100.41674364393</c:v>
                </c:pt>
                <c:pt idx="1">
                  <c:v>563595.67084967729</c:v>
                </c:pt>
                <c:pt idx="2">
                  <c:v>583476.40312332683</c:v>
                </c:pt>
                <c:pt idx="3">
                  <c:v>610969.55450601643</c:v>
                </c:pt>
                <c:pt idx="4">
                  <c:v>624399.3588376838</c:v>
                </c:pt>
                <c:pt idx="5">
                  <c:v>637529.60580017616</c:v>
                </c:pt>
                <c:pt idx="6">
                  <c:v>691231.19548664358</c:v>
                </c:pt>
                <c:pt idx="7">
                  <c:v>727837.01731432928</c:v>
                </c:pt>
                <c:pt idx="8">
                  <c:v>765258.19023128564</c:v>
                </c:pt>
                <c:pt idx="9">
                  <c:v>799188.1816059408</c:v>
                </c:pt>
                <c:pt idx="10">
                  <c:v>826852.95378470153</c:v>
                </c:pt>
                <c:pt idx="11">
                  <c:v>844800.22388525913</c:v>
                </c:pt>
                <c:pt idx="12">
                  <c:v>857559.96646265511</c:v>
                </c:pt>
                <c:pt idx="13">
                  <c:v>876003.58380812663</c:v>
                </c:pt>
                <c:pt idx="14">
                  <c:v>890781.85892496863</c:v>
                </c:pt>
                <c:pt idx="15">
                  <c:v>881340.6829815032</c:v>
                </c:pt>
                <c:pt idx="16">
                  <c:v>883083.47818965255</c:v>
                </c:pt>
                <c:pt idx="17">
                  <c:v>903484.57990933233</c:v>
                </c:pt>
                <c:pt idx="18">
                  <c:v>930741.65544038732</c:v>
                </c:pt>
                <c:pt idx="19">
                  <c:v>964434.1762535976</c:v>
                </c:pt>
                <c:pt idx="20">
                  <c:v>1004433.0729397754</c:v>
                </c:pt>
                <c:pt idx="21">
                  <c:v>1036234.644285287</c:v>
                </c:pt>
                <c:pt idx="22">
                  <c:v>1035209.7519450426</c:v>
                </c:pt>
                <c:pt idx="23">
                  <c:v>1059817.0052174646</c:v>
                </c:pt>
                <c:pt idx="24">
                  <c:v>1076715.4518856585</c:v>
                </c:pt>
                <c:pt idx="25">
                  <c:v>1121526.4120261644</c:v>
                </c:pt>
                <c:pt idx="26">
                  <c:v>1169593.4108406715</c:v>
                </c:pt>
                <c:pt idx="27">
                  <c:v>1195827.7241361924</c:v>
                </c:pt>
                <c:pt idx="28">
                  <c:v>1222389.2066799824</c:v>
                </c:pt>
                <c:pt idx="29">
                  <c:v>1259715.8603183886</c:v>
                </c:pt>
                <c:pt idx="30">
                  <c:v>1289539.0365636023</c:v>
                </c:pt>
                <c:pt idx="31">
                  <c:v>1329853.7609914157</c:v>
                </c:pt>
                <c:pt idx="32">
                  <c:v>1373717.6327319425</c:v>
                </c:pt>
                <c:pt idx="33">
                  <c:v>1379151.8692361135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57C-4D63-BC5F-0B1F22CEFF6D}"/>
            </c:ext>
          </c:extLst>
        </c:ser>
        <c:ser>
          <c:idx val="4"/>
          <c:order val="4"/>
          <c:tx>
            <c:strRef>
              <c:f>GBD_America_Latina_2023_pacient!$A$172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GBD_America_Latina_2023_pacient!$B$172:$B$205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GBD_America_Latina_2023_pacient!$D$172:$D$205</c:f>
              <c:numCache>
                <c:formatCode>0.00</c:formatCode>
                <c:ptCount val="34"/>
                <c:pt idx="0">
                  <c:v>44214.992205008348</c:v>
                </c:pt>
                <c:pt idx="1">
                  <c:v>46312.764971813667</c:v>
                </c:pt>
                <c:pt idx="2">
                  <c:v>48436.716582417568</c:v>
                </c:pt>
                <c:pt idx="3">
                  <c:v>50483.505799869628</c:v>
                </c:pt>
                <c:pt idx="4">
                  <c:v>52595.47689527936</c:v>
                </c:pt>
                <c:pt idx="5">
                  <c:v>54966.97711350317</c:v>
                </c:pt>
                <c:pt idx="6">
                  <c:v>57757.270230258633</c:v>
                </c:pt>
                <c:pt idx="7">
                  <c:v>60082.928136335096</c:v>
                </c:pt>
                <c:pt idx="8">
                  <c:v>63080.680831039979</c:v>
                </c:pt>
                <c:pt idx="9">
                  <c:v>66254.519065477478</c:v>
                </c:pt>
                <c:pt idx="10">
                  <c:v>69665.572885544912</c:v>
                </c:pt>
                <c:pt idx="11">
                  <c:v>73615.887889405611</c:v>
                </c:pt>
                <c:pt idx="12">
                  <c:v>77249.639153975295</c:v>
                </c:pt>
                <c:pt idx="13">
                  <c:v>80586.136952271161</c:v>
                </c:pt>
                <c:pt idx="14">
                  <c:v>84139.984587417901</c:v>
                </c:pt>
                <c:pt idx="15">
                  <c:v>87166.328286235934</c:v>
                </c:pt>
                <c:pt idx="16">
                  <c:v>90657.022557196149</c:v>
                </c:pt>
                <c:pt idx="17">
                  <c:v>93771.238342600365</c:v>
                </c:pt>
                <c:pt idx="18">
                  <c:v>97391.781966537252</c:v>
                </c:pt>
                <c:pt idx="19">
                  <c:v>100958.060326365</c:v>
                </c:pt>
                <c:pt idx="20">
                  <c:v>104727.163483999</c:v>
                </c:pt>
                <c:pt idx="21">
                  <c:v>108972.36593422681</c:v>
                </c:pt>
                <c:pt idx="22">
                  <c:v>112864.70069855264</c:v>
                </c:pt>
                <c:pt idx="23">
                  <c:v>117150.23113501396</c:v>
                </c:pt>
                <c:pt idx="24">
                  <c:v>120510.63299743751</c:v>
                </c:pt>
                <c:pt idx="25">
                  <c:v>124498.27075346364</c:v>
                </c:pt>
                <c:pt idx="26">
                  <c:v>128547.98621771857</c:v>
                </c:pt>
                <c:pt idx="27">
                  <c:v>132202.77175235137</c:v>
                </c:pt>
                <c:pt idx="28">
                  <c:v>137456.04252764399</c:v>
                </c:pt>
                <c:pt idx="29">
                  <c:v>141378.63312658822</c:v>
                </c:pt>
                <c:pt idx="30">
                  <c:v>172287.53696006761</c:v>
                </c:pt>
                <c:pt idx="31">
                  <c:v>160752.62121880689</c:v>
                </c:pt>
                <c:pt idx="32">
                  <c:v>143582.05456731439</c:v>
                </c:pt>
                <c:pt idx="33">
                  <c:v>146719.6018644984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57C-4D63-BC5F-0B1F22CEFF6D}"/>
            </c:ext>
          </c:extLst>
        </c:ser>
        <c:ser>
          <c:idx val="5"/>
          <c:order val="5"/>
          <c:tx>
            <c:strRef>
              <c:f>GBD_America_Latina_2023_pacient!$A$206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GBD_America_Latina_2023_pacient!$B$206:$B$239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GBD_America_Latina_2023_pacient!$D$206:$D$239</c:f>
              <c:numCache>
                <c:formatCode>0.00</c:formatCode>
                <c:ptCount val="34"/>
                <c:pt idx="0">
                  <c:v>44425.854809571618</c:v>
                </c:pt>
                <c:pt idx="1">
                  <c:v>48806.785688972304</c:v>
                </c:pt>
                <c:pt idx="2">
                  <c:v>51036.679795331496</c:v>
                </c:pt>
                <c:pt idx="3">
                  <c:v>54265.746199667221</c:v>
                </c:pt>
                <c:pt idx="4">
                  <c:v>64978.946322537515</c:v>
                </c:pt>
                <c:pt idx="5">
                  <c:v>70752.518348425132</c:v>
                </c:pt>
                <c:pt idx="6">
                  <c:v>78094.620741516555</c:v>
                </c:pt>
                <c:pt idx="7">
                  <c:v>84833.679258724122</c:v>
                </c:pt>
                <c:pt idx="8">
                  <c:v>93868.445608704118</c:v>
                </c:pt>
                <c:pt idx="9">
                  <c:v>104373.48669623601</c:v>
                </c:pt>
                <c:pt idx="10">
                  <c:v>118676.15709884107</c:v>
                </c:pt>
                <c:pt idx="11">
                  <c:v>128312.12269213286</c:v>
                </c:pt>
                <c:pt idx="12">
                  <c:v>134334.36112295979</c:v>
                </c:pt>
                <c:pt idx="13">
                  <c:v>138277.43568623118</c:v>
                </c:pt>
                <c:pt idx="14">
                  <c:v>136849.3895700211</c:v>
                </c:pt>
                <c:pt idx="15">
                  <c:v>144896.15507589243</c:v>
                </c:pt>
                <c:pt idx="16">
                  <c:v>149896.36114205557</c:v>
                </c:pt>
                <c:pt idx="17">
                  <c:v>153533.20286941229</c:v>
                </c:pt>
                <c:pt idx="18">
                  <c:v>155399.11189739421</c:v>
                </c:pt>
                <c:pt idx="19">
                  <c:v>153962.13246820663</c:v>
                </c:pt>
                <c:pt idx="20">
                  <c:v>147311.39707171239</c:v>
                </c:pt>
                <c:pt idx="21">
                  <c:v>146807.80370224279</c:v>
                </c:pt>
                <c:pt idx="22">
                  <c:v>147736.23810706273</c:v>
                </c:pt>
                <c:pt idx="23">
                  <c:v>143066.6960909359</c:v>
                </c:pt>
                <c:pt idx="24">
                  <c:v>133959.1063239135</c:v>
                </c:pt>
                <c:pt idx="25">
                  <c:v>130092.90356941693</c:v>
                </c:pt>
                <c:pt idx="26">
                  <c:v>127374.05734572175</c:v>
                </c:pt>
                <c:pt idx="27">
                  <c:v>125875.02000021076</c:v>
                </c:pt>
                <c:pt idx="28">
                  <c:v>122181.97349313233</c:v>
                </c:pt>
                <c:pt idx="29">
                  <c:v>124548.59032781003</c:v>
                </c:pt>
                <c:pt idx="30">
                  <c:v>122588.93748850546</c:v>
                </c:pt>
                <c:pt idx="31">
                  <c:v>123174.4779936214</c:v>
                </c:pt>
                <c:pt idx="32">
                  <c:v>126442.62437045776</c:v>
                </c:pt>
                <c:pt idx="33">
                  <c:v>138599.49598897269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57C-4D63-BC5F-0B1F22CEFF6D}"/>
            </c:ext>
          </c:extLst>
        </c:ser>
        <c:ser>
          <c:idx val="6"/>
          <c:order val="6"/>
          <c:tx>
            <c:strRef>
              <c:f>GBD_America_Latina_2023_pacient!$A$240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762900735979291E-3"/>
                  <c:y val="-3.0952318432034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GBD_America_Latina_2023_pacient!$B$240:$B$273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GBD_America_Latina_2023_pacient!$D$240:$D$273</c:f>
              <c:numCache>
                <c:formatCode>0.00</c:formatCode>
                <c:ptCount val="34"/>
                <c:pt idx="0">
                  <c:v>142302.38193488537</c:v>
                </c:pt>
                <c:pt idx="1">
                  <c:v>144881.01252437831</c:v>
                </c:pt>
                <c:pt idx="2">
                  <c:v>147216.62106819425</c:v>
                </c:pt>
                <c:pt idx="3">
                  <c:v>147610.49751754379</c:v>
                </c:pt>
                <c:pt idx="4">
                  <c:v>149259.16743859291</c:v>
                </c:pt>
                <c:pt idx="5">
                  <c:v>154179.66834616213</c:v>
                </c:pt>
                <c:pt idx="6">
                  <c:v>161279.45213548449</c:v>
                </c:pt>
                <c:pt idx="7">
                  <c:v>165273.50470963272</c:v>
                </c:pt>
                <c:pt idx="8">
                  <c:v>168273.0394072854</c:v>
                </c:pt>
                <c:pt idx="9">
                  <c:v>178428.13430559263</c:v>
                </c:pt>
                <c:pt idx="10">
                  <c:v>183322.85622139493</c:v>
                </c:pt>
                <c:pt idx="11">
                  <c:v>185378.80095305861</c:v>
                </c:pt>
                <c:pt idx="12">
                  <c:v>190422.39610607468</c:v>
                </c:pt>
                <c:pt idx="13">
                  <c:v>200692.55357204893</c:v>
                </c:pt>
                <c:pt idx="14">
                  <c:v>207261.58651757619</c:v>
                </c:pt>
                <c:pt idx="15">
                  <c:v>207212.73540337227</c:v>
                </c:pt>
                <c:pt idx="16">
                  <c:v>212104.17398609227</c:v>
                </c:pt>
                <c:pt idx="17">
                  <c:v>216751.08751025467</c:v>
                </c:pt>
                <c:pt idx="18">
                  <c:v>223554.00535056787</c:v>
                </c:pt>
                <c:pt idx="19">
                  <c:v>225069.99854835134</c:v>
                </c:pt>
                <c:pt idx="20">
                  <c:v>237067.58054004956</c:v>
                </c:pt>
                <c:pt idx="21">
                  <c:v>242272.32760785118</c:v>
                </c:pt>
                <c:pt idx="22">
                  <c:v>251691.29570793101</c:v>
                </c:pt>
                <c:pt idx="23">
                  <c:v>257349.20188786008</c:v>
                </c:pt>
                <c:pt idx="24">
                  <c:v>265945.24137475563</c:v>
                </c:pt>
                <c:pt idx="25">
                  <c:v>279585.81438093574</c:v>
                </c:pt>
                <c:pt idx="26">
                  <c:v>282779.60741292097</c:v>
                </c:pt>
                <c:pt idx="27">
                  <c:v>288529.40355290024</c:v>
                </c:pt>
                <c:pt idx="28">
                  <c:v>289067.39455494052</c:v>
                </c:pt>
                <c:pt idx="29">
                  <c:v>273629.82561603672</c:v>
                </c:pt>
                <c:pt idx="30">
                  <c:v>267955.10298011074</c:v>
                </c:pt>
                <c:pt idx="31">
                  <c:v>272076.08925836341</c:v>
                </c:pt>
                <c:pt idx="32">
                  <c:v>273204.52616177947</c:v>
                </c:pt>
                <c:pt idx="33">
                  <c:v>279002.837945926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57C-4D63-BC5F-0B1F22CEFF6D}"/>
            </c:ext>
          </c:extLst>
        </c:ser>
        <c:ser>
          <c:idx val="7"/>
          <c:order val="7"/>
          <c:tx>
            <c:strRef>
              <c:f>GBD_America_Latina_2023_pacient!$A$274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GBD_America_Latina_2023_pacient!$B$274:$B$307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GBD_America_Latina_2023_pacient!$D$274:$D$307</c:f>
              <c:numCache>
                <c:formatCode>0.00</c:formatCode>
                <c:ptCount val="34"/>
                <c:pt idx="0">
                  <c:v>74392.084396070641</c:v>
                </c:pt>
                <c:pt idx="1">
                  <c:v>78293.05466161255</c:v>
                </c:pt>
                <c:pt idx="2">
                  <c:v>82004.642990564578</c:v>
                </c:pt>
                <c:pt idx="3">
                  <c:v>85226.746371934656</c:v>
                </c:pt>
                <c:pt idx="4">
                  <c:v>88600.886296216195</c:v>
                </c:pt>
                <c:pt idx="5">
                  <c:v>103332.04902515952</c:v>
                </c:pt>
                <c:pt idx="6">
                  <c:v>120669.84067959068</c:v>
                </c:pt>
                <c:pt idx="7">
                  <c:v>129694.89254238085</c:v>
                </c:pt>
                <c:pt idx="8">
                  <c:v>132343.42927695799</c:v>
                </c:pt>
                <c:pt idx="9">
                  <c:v>148094.47212189721</c:v>
                </c:pt>
                <c:pt idx="10">
                  <c:v>146278.16389421906</c:v>
                </c:pt>
                <c:pt idx="11">
                  <c:v>153238.75112192795</c:v>
                </c:pt>
                <c:pt idx="12">
                  <c:v>157761.07866062201</c:v>
                </c:pt>
                <c:pt idx="13">
                  <c:v>170285.58184048586</c:v>
                </c:pt>
                <c:pt idx="14">
                  <c:v>177358.11441451154</c:v>
                </c:pt>
                <c:pt idx="15">
                  <c:v>180685.72872426052</c:v>
                </c:pt>
                <c:pt idx="16">
                  <c:v>184866.08322412689</c:v>
                </c:pt>
                <c:pt idx="17">
                  <c:v>192428.89358422597</c:v>
                </c:pt>
                <c:pt idx="18">
                  <c:v>202754.48533903353</c:v>
                </c:pt>
                <c:pt idx="19">
                  <c:v>211306.22253717305</c:v>
                </c:pt>
                <c:pt idx="20">
                  <c:v>223959.94500690428</c:v>
                </c:pt>
                <c:pt idx="21">
                  <c:v>229394.76467671091</c:v>
                </c:pt>
                <c:pt idx="22">
                  <c:v>237163.66323608646</c:v>
                </c:pt>
                <c:pt idx="23">
                  <c:v>253277.94408855424</c:v>
                </c:pt>
                <c:pt idx="24">
                  <c:v>275218.81245913351</c:v>
                </c:pt>
                <c:pt idx="25">
                  <c:v>288976.93594833155</c:v>
                </c:pt>
                <c:pt idx="26">
                  <c:v>302677.74977542571</c:v>
                </c:pt>
                <c:pt idx="27">
                  <c:v>322202.38325710996</c:v>
                </c:pt>
                <c:pt idx="28">
                  <c:v>352039.80773700692</c:v>
                </c:pt>
                <c:pt idx="29">
                  <c:v>389806.19121515792</c:v>
                </c:pt>
                <c:pt idx="30">
                  <c:v>408100.96768935723</c:v>
                </c:pt>
                <c:pt idx="31">
                  <c:v>428854.537973698</c:v>
                </c:pt>
                <c:pt idx="32">
                  <c:v>447779.55289632623</c:v>
                </c:pt>
                <c:pt idx="33">
                  <c:v>454535.68689226173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57C-4D63-BC5F-0B1F22CEFF6D}"/>
            </c:ext>
          </c:extLst>
        </c:ser>
        <c:ser>
          <c:idx val="8"/>
          <c:order val="8"/>
          <c:tx>
            <c:strRef>
              <c:f>GBD_America_Latina_2023_pacient!$A$308</c:f>
              <c:strCache>
                <c:ptCount val="1"/>
                <c:pt idx="0">
                  <c:v>Paraguay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GBD_America_Latina_2023_pacient!$B$308:$B$341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GBD_America_Latina_2023_pacient!$D$308:$D$341</c:f>
              <c:numCache>
                <c:formatCode>0.00</c:formatCode>
                <c:ptCount val="34"/>
                <c:pt idx="0">
                  <c:v>13576.476356220903</c:v>
                </c:pt>
                <c:pt idx="1">
                  <c:v>14224.6587195185</c:v>
                </c:pt>
                <c:pt idx="2">
                  <c:v>14952.964445592474</c:v>
                </c:pt>
                <c:pt idx="3">
                  <c:v>15792.804431933344</c:v>
                </c:pt>
                <c:pt idx="4">
                  <c:v>16720.527624711773</c:v>
                </c:pt>
                <c:pt idx="5">
                  <c:v>17564.996020025643</c:v>
                </c:pt>
                <c:pt idx="6">
                  <c:v>18592.232869954667</c:v>
                </c:pt>
                <c:pt idx="7">
                  <c:v>19640.087167677575</c:v>
                </c:pt>
                <c:pt idx="8">
                  <c:v>20661.856968902481</c:v>
                </c:pt>
                <c:pt idx="9">
                  <c:v>21416.683211316082</c:v>
                </c:pt>
                <c:pt idx="10">
                  <c:v>22212.201522089741</c:v>
                </c:pt>
                <c:pt idx="11">
                  <c:v>23001.418276836273</c:v>
                </c:pt>
                <c:pt idx="12">
                  <c:v>23662.789181227068</c:v>
                </c:pt>
                <c:pt idx="13">
                  <c:v>24171.453547083129</c:v>
                </c:pt>
                <c:pt idx="14">
                  <c:v>24886.023422778071</c:v>
                </c:pt>
                <c:pt idx="15">
                  <c:v>25787.33664761336</c:v>
                </c:pt>
                <c:pt idx="16">
                  <c:v>26494.552238788103</c:v>
                </c:pt>
                <c:pt idx="17">
                  <c:v>27475.262006935394</c:v>
                </c:pt>
                <c:pt idx="18">
                  <c:v>28158.401836186036</c:v>
                </c:pt>
                <c:pt idx="19">
                  <c:v>29035.801825496463</c:v>
                </c:pt>
                <c:pt idx="20">
                  <c:v>30361.490148925946</c:v>
                </c:pt>
                <c:pt idx="21">
                  <c:v>31458.838226894502</c:v>
                </c:pt>
                <c:pt idx="22">
                  <c:v>32667.893664733663</c:v>
                </c:pt>
                <c:pt idx="23">
                  <c:v>33648.116909474506</c:v>
                </c:pt>
                <c:pt idx="24">
                  <c:v>35152.067680867047</c:v>
                </c:pt>
                <c:pt idx="25">
                  <c:v>36677.429538925462</c:v>
                </c:pt>
                <c:pt idx="26">
                  <c:v>38327.641832484434</c:v>
                </c:pt>
                <c:pt idx="27">
                  <c:v>40372.816742498937</c:v>
                </c:pt>
                <c:pt idx="28">
                  <c:v>42642.9126089704</c:v>
                </c:pt>
                <c:pt idx="29">
                  <c:v>44931.902757722666</c:v>
                </c:pt>
                <c:pt idx="30">
                  <c:v>46590.539843571773</c:v>
                </c:pt>
                <c:pt idx="31">
                  <c:v>48206.398085927023</c:v>
                </c:pt>
                <c:pt idx="32">
                  <c:v>43548.24728159354</c:v>
                </c:pt>
                <c:pt idx="33">
                  <c:v>44788.061884440445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57C-4D63-BC5F-0B1F22CEFF6D}"/>
            </c:ext>
          </c:extLst>
        </c:ser>
        <c:ser>
          <c:idx val="9"/>
          <c:order val="9"/>
          <c:tx>
            <c:strRef>
              <c:f>GBD_America_Latina_2023_pacient!$A$346</c:f>
              <c:strCache>
                <c:ptCount val="1"/>
                <c:pt idx="0">
                  <c:v>Guyana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GBD_America_Latina_2023_pacient!$B$342:$B$375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GBD_America_Latina_2023_pacient!$D$342:$D$375</c:f>
              <c:numCache>
                <c:formatCode>0.00</c:formatCode>
                <c:ptCount val="34"/>
                <c:pt idx="0">
                  <c:v>4709.145281953648</c:v>
                </c:pt>
                <c:pt idx="1">
                  <c:v>4594.2631209035244</c:v>
                </c:pt>
                <c:pt idx="2">
                  <c:v>4555.918155063413</c:v>
                </c:pt>
                <c:pt idx="3">
                  <c:v>4598.1897161738343</c:v>
                </c:pt>
                <c:pt idx="4">
                  <c:v>4377.6700746148017</c:v>
                </c:pt>
                <c:pt idx="5">
                  <c:v>4425.1042976305826</c:v>
                </c:pt>
                <c:pt idx="6">
                  <c:v>4604.8177825800549</c:v>
                </c:pt>
                <c:pt idx="7">
                  <c:v>4650.2474884695339</c:v>
                </c:pt>
                <c:pt idx="8">
                  <c:v>4654.925802586059</c:v>
                </c:pt>
                <c:pt idx="9">
                  <c:v>5103.3424266339007</c:v>
                </c:pt>
                <c:pt idx="10">
                  <c:v>6043.7937431563769</c:v>
                </c:pt>
                <c:pt idx="11">
                  <c:v>6352.4710246159193</c:v>
                </c:pt>
                <c:pt idx="12">
                  <c:v>6338.4911714103391</c:v>
                </c:pt>
                <c:pt idx="13">
                  <c:v>6302.827770186942</c:v>
                </c:pt>
                <c:pt idx="14">
                  <c:v>6438.6293201135486</c:v>
                </c:pt>
                <c:pt idx="15">
                  <c:v>6667.6473041411664</c:v>
                </c:pt>
                <c:pt idx="16">
                  <c:v>7029.7640466922176</c:v>
                </c:pt>
                <c:pt idx="17">
                  <c:v>7208.6784601372901</c:v>
                </c:pt>
                <c:pt idx="18">
                  <c:v>7403.1319303530499</c:v>
                </c:pt>
                <c:pt idx="19">
                  <c:v>7772.6582354763359</c:v>
                </c:pt>
                <c:pt idx="20">
                  <c:v>8427.9012606941924</c:v>
                </c:pt>
                <c:pt idx="21">
                  <c:v>9363.8698927359164</c:v>
                </c:pt>
                <c:pt idx="22">
                  <c:v>10145.08164350082</c:v>
                </c:pt>
                <c:pt idx="23">
                  <c:v>10228.402415369043</c:v>
                </c:pt>
                <c:pt idx="24">
                  <c:v>10511.142902902637</c:v>
                </c:pt>
                <c:pt idx="25">
                  <c:v>10503.533547717536</c:v>
                </c:pt>
                <c:pt idx="26">
                  <c:v>10880.743145307553</c:v>
                </c:pt>
                <c:pt idx="27">
                  <c:v>10903.684025637889</c:v>
                </c:pt>
                <c:pt idx="28">
                  <c:v>11013.145283373586</c:v>
                </c:pt>
                <c:pt idx="29">
                  <c:v>11367.813710719565</c:v>
                </c:pt>
                <c:pt idx="30">
                  <c:v>13066.92902797305</c:v>
                </c:pt>
                <c:pt idx="31">
                  <c:v>13815.935473297288</c:v>
                </c:pt>
                <c:pt idx="32">
                  <c:v>13996.205504106301</c:v>
                </c:pt>
                <c:pt idx="33">
                  <c:v>16087.613025235309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457C-4D63-BC5F-0B1F22CEFF6D}"/>
            </c:ext>
          </c:extLst>
        </c:ser>
        <c:ser>
          <c:idx val="10"/>
          <c:order val="10"/>
          <c:tx>
            <c:strRef>
              <c:f>GBD_America_Latina_2023_pacient!$A$376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GBD_America_Latina_2023_pacient!$B$376:$B$409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GBD_America_Latina_2023_pacient!$D$376:$D$409</c:f>
              <c:numCache>
                <c:formatCode>0.00</c:formatCode>
                <c:ptCount val="34"/>
                <c:pt idx="0">
                  <c:v>40753.434090559575</c:v>
                </c:pt>
                <c:pt idx="1">
                  <c:v>41098.98370597553</c:v>
                </c:pt>
                <c:pt idx="2">
                  <c:v>42641.793159271794</c:v>
                </c:pt>
                <c:pt idx="3">
                  <c:v>42992.937091499189</c:v>
                </c:pt>
                <c:pt idx="4">
                  <c:v>42894.625264547765</c:v>
                </c:pt>
                <c:pt idx="5">
                  <c:v>43702.407309928742</c:v>
                </c:pt>
                <c:pt idx="6">
                  <c:v>46154.816654257709</c:v>
                </c:pt>
                <c:pt idx="7">
                  <c:v>53117.236758327679</c:v>
                </c:pt>
                <c:pt idx="8">
                  <c:v>58157.753517645186</c:v>
                </c:pt>
                <c:pt idx="9">
                  <c:v>60256.620425163135</c:v>
                </c:pt>
                <c:pt idx="10">
                  <c:v>60699.888715157213</c:v>
                </c:pt>
                <c:pt idx="11">
                  <c:v>65689.667278392168</c:v>
                </c:pt>
                <c:pt idx="12">
                  <c:v>65947.90220376075</c:v>
                </c:pt>
                <c:pt idx="13">
                  <c:v>69259.767633792901</c:v>
                </c:pt>
                <c:pt idx="14">
                  <c:v>73341.770604549602</c:v>
                </c:pt>
                <c:pt idx="15">
                  <c:v>75351.477294125551</c:v>
                </c:pt>
                <c:pt idx="16">
                  <c:v>76513.204906169864</c:v>
                </c:pt>
                <c:pt idx="17">
                  <c:v>80609.369280550862</c:v>
                </c:pt>
                <c:pt idx="18">
                  <c:v>78522.372633133855</c:v>
                </c:pt>
                <c:pt idx="19">
                  <c:v>82223.843185749065</c:v>
                </c:pt>
                <c:pt idx="20">
                  <c:v>88376.557969125948</c:v>
                </c:pt>
                <c:pt idx="21">
                  <c:v>83705.011971348111</c:v>
                </c:pt>
                <c:pt idx="22">
                  <c:v>87442.65741509269</c:v>
                </c:pt>
                <c:pt idx="23">
                  <c:v>91509.582459940706</c:v>
                </c:pt>
                <c:pt idx="24">
                  <c:v>95359.648372649186</c:v>
                </c:pt>
                <c:pt idx="25">
                  <c:v>98110.389753233918</c:v>
                </c:pt>
                <c:pt idx="26">
                  <c:v>100442.45433904321</c:v>
                </c:pt>
                <c:pt idx="27">
                  <c:v>101462.87631455294</c:v>
                </c:pt>
                <c:pt idx="28">
                  <c:v>95480.845349739946</c:v>
                </c:pt>
                <c:pt idx="29">
                  <c:v>93812.567576074609</c:v>
                </c:pt>
                <c:pt idx="30">
                  <c:v>92330.576140994788</c:v>
                </c:pt>
                <c:pt idx="31">
                  <c:v>93834.47482641149</c:v>
                </c:pt>
                <c:pt idx="32">
                  <c:v>101337.21809917052</c:v>
                </c:pt>
                <c:pt idx="33">
                  <c:v>100633.52890651718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457C-4D63-BC5F-0B1F22CEFF6D}"/>
            </c:ext>
          </c:extLst>
        </c:ser>
        <c:ser>
          <c:idx val="11"/>
          <c:order val="11"/>
          <c:tx>
            <c:strRef>
              <c:f>GBD_America_Latina_2023_pacient!$A$410</c:f>
              <c:strCache>
                <c:ptCount val="1"/>
                <c:pt idx="0">
                  <c:v>Costa Rica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GBD_America_Latina_2023_pacient!$B$410:$B$443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GBD_America_Latina_2023_pacient!$D$410:$D$443</c:f>
              <c:numCache>
                <c:formatCode>0.00</c:formatCode>
                <c:ptCount val="34"/>
                <c:pt idx="0">
                  <c:v>11234.997578071287</c:v>
                </c:pt>
                <c:pt idx="1">
                  <c:v>11255.884093246515</c:v>
                </c:pt>
                <c:pt idx="2">
                  <c:v>11420.650902034868</c:v>
                </c:pt>
                <c:pt idx="3">
                  <c:v>12102.487517821319</c:v>
                </c:pt>
                <c:pt idx="4">
                  <c:v>12809.977326980044</c:v>
                </c:pt>
                <c:pt idx="5">
                  <c:v>13443.419220233753</c:v>
                </c:pt>
                <c:pt idx="6">
                  <c:v>14708.052295787287</c:v>
                </c:pt>
                <c:pt idx="7">
                  <c:v>16870.77656649346</c:v>
                </c:pt>
                <c:pt idx="8">
                  <c:v>18981.026124215612</c:v>
                </c:pt>
                <c:pt idx="9">
                  <c:v>20361.427164610501</c:v>
                </c:pt>
                <c:pt idx="10">
                  <c:v>21670.493854097997</c:v>
                </c:pt>
                <c:pt idx="11">
                  <c:v>22698.924603664353</c:v>
                </c:pt>
                <c:pt idx="12">
                  <c:v>23419.950577391835</c:v>
                </c:pt>
                <c:pt idx="13">
                  <c:v>24868.682780991468</c:v>
                </c:pt>
                <c:pt idx="14">
                  <c:v>26264.835665403873</c:v>
                </c:pt>
                <c:pt idx="15">
                  <c:v>26851.213183951593</c:v>
                </c:pt>
                <c:pt idx="16">
                  <c:v>27236.826097922793</c:v>
                </c:pt>
                <c:pt idx="17">
                  <c:v>27794.892546792231</c:v>
                </c:pt>
                <c:pt idx="18">
                  <c:v>29310.315192440892</c:v>
                </c:pt>
                <c:pt idx="19">
                  <c:v>31112.707607503864</c:v>
                </c:pt>
                <c:pt idx="20">
                  <c:v>32644.304141345219</c:v>
                </c:pt>
                <c:pt idx="21">
                  <c:v>33394.981989979482</c:v>
                </c:pt>
                <c:pt idx="22">
                  <c:v>34403.294530039399</c:v>
                </c:pt>
                <c:pt idx="23">
                  <c:v>35024.265185150529</c:v>
                </c:pt>
                <c:pt idx="24">
                  <c:v>36126.833209306555</c:v>
                </c:pt>
                <c:pt idx="25">
                  <c:v>37489.649754761849</c:v>
                </c:pt>
                <c:pt idx="26">
                  <c:v>39144.221654591682</c:v>
                </c:pt>
                <c:pt idx="27">
                  <c:v>40889.082591577113</c:v>
                </c:pt>
                <c:pt idx="28">
                  <c:v>42142.588069906138</c:v>
                </c:pt>
                <c:pt idx="29">
                  <c:v>45754.667242994125</c:v>
                </c:pt>
                <c:pt idx="30">
                  <c:v>47734.926981424986</c:v>
                </c:pt>
                <c:pt idx="31">
                  <c:v>48482.819663916496</c:v>
                </c:pt>
                <c:pt idx="32">
                  <c:v>52889.139847502331</c:v>
                </c:pt>
                <c:pt idx="33">
                  <c:v>57711.874696311381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457C-4D63-BC5F-0B1F22CEFF6D}"/>
            </c:ext>
          </c:extLst>
        </c:ser>
        <c:ser>
          <c:idx val="12"/>
          <c:order val="12"/>
          <c:tx>
            <c:strRef>
              <c:f>GBD_America_Latina_2023_pacient!$A$444</c:f>
              <c:strCache>
                <c:ptCount val="1"/>
                <c:pt idx="0">
                  <c:v>El Salvador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GBD_America_Latina_2023_pacient!$B$444:$B$477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GBD_America_Latina_2023_pacient!$D$444:$D$477</c:f>
              <c:numCache>
                <c:formatCode>0.00</c:formatCode>
                <c:ptCount val="34"/>
                <c:pt idx="0">
                  <c:v>39012.168523886467</c:v>
                </c:pt>
                <c:pt idx="1">
                  <c:v>41437.662649635749</c:v>
                </c:pt>
                <c:pt idx="2">
                  <c:v>43440.61797439443</c:v>
                </c:pt>
                <c:pt idx="3">
                  <c:v>45548.820660251513</c:v>
                </c:pt>
                <c:pt idx="4">
                  <c:v>47511.296461487349</c:v>
                </c:pt>
                <c:pt idx="5">
                  <c:v>49362.863596651216</c:v>
                </c:pt>
                <c:pt idx="6">
                  <c:v>52044.198593906694</c:v>
                </c:pt>
                <c:pt idx="7">
                  <c:v>54987.207609397163</c:v>
                </c:pt>
                <c:pt idx="8">
                  <c:v>57394.913095337797</c:v>
                </c:pt>
                <c:pt idx="9">
                  <c:v>60722.659139978379</c:v>
                </c:pt>
                <c:pt idx="10">
                  <c:v>62616.800340927584</c:v>
                </c:pt>
                <c:pt idx="11">
                  <c:v>65045.740460408531</c:v>
                </c:pt>
                <c:pt idx="12">
                  <c:v>67827.033212695227</c:v>
                </c:pt>
                <c:pt idx="13">
                  <c:v>70682.718394619151</c:v>
                </c:pt>
                <c:pt idx="14">
                  <c:v>73869.986732097575</c:v>
                </c:pt>
                <c:pt idx="15">
                  <c:v>77318.230008207072</c:v>
                </c:pt>
                <c:pt idx="16">
                  <c:v>80437.040501386742</c:v>
                </c:pt>
                <c:pt idx="17">
                  <c:v>83891.749894016728</c:v>
                </c:pt>
                <c:pt idx="18">
                  <c:v>87340.828162231555</c:v>
                </c:pt>
                <c:pt idx="19">
                  <c:v>89026.706299065016</c:v>
                </c:pt>
                <c:pt idx="20">
                  <c:v>91753.000496876964</c:v>
                </c:pt>
                <c:pt idx="21">
                  <c:v>92048.497593250853</c:v>
                </c:pt>
                <c:pt idx="22">
                  <c:v>100747.49268118272</c:v>
                </c:pt>
                <c:pt idx="23">
                  <c:v>105321.60387783377</c:v>
                </c:pt>
                <c:pt idx="24">
                  <c:v>110899.89689523607</c:v>
                </c:pt>
                <c:pt idx="25">
                  <c:v>113942.68301210138</c:v>
                </c:pt>
                <c:pt idx="26">
                  <c:v>115130.2090542175</c:v>
                </c:pt>
                <c:pt idx="27">
                  <c:v>117646.94906848772</c:v>
                </c:pt>
                <c:pt idx="28">
                  <c:v>119076.46065070634</c:v>
                </c:pt>
                <c:pt idx="29">
                  <c:v>122058.72056432303</c:v>
                </c:pt>
                <c:pt idx="30">
                  <c:v>125983.45908228343</c:v>
                </c:pt>
                <c:pt idx="31">
                  <c:v>133172.8030675406</c:v>
                </c:pt>
                <c:pt idx="32">
                  <c:v>131162.2495672603</c:v>
                </c:pt>
                <c:pt idx="33">
                  <c:v>134105.46455300835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457C-4D63-BC5F-0B1F22CEFF6D}"/>
            </c:ext>
          </c:extLst>
        </c:ser>
        <c:ser>
          <c:idx val="13"/>
          <c:order val="13"/>
          <c:tx>
            <c:strRef>
              <c:f>GBD_America_Latina_2023_pacient!$A$478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GBD_America_Latina_2023_pacient!$B$478:$B$511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GBD_America_Latina_2023_pacient!$D$478:$D$511</c:f>
              <c:numCache>
                <c:formatCode>0.00</c:formatCode>
                <c:ptCount val="34"/>
                <c:pt idx="0">
                  <c:v>28692.398985034353</c:v>
                </c:pt>
                <c:pt idx="1">
                  <c:v>29152.498858431034</c:v>
                </c:pt>
                <c:pt idx="2">
                  <c:v>30299.401511166121</c:v>
                </c:pt>
                <c:pt idx="3">
                  <c:v>31796.992110893068</c:v>
                </c:pt>
                <c:pt idx="4">
                  <c:v>33265.568109938453</c:v>
                </c:pt>
                <c:pt idx="5">
                  <c:v>34741.322814006984</c:v>
                </c:pt>
                <c:pt idx="6">
                  <c:v>36073.546878283472</c:v>
                </c:pt>
                <c:pt idx="7">
                  <c:v>37898.336331138089</c:v>
                </c:pt>
                <c:pt idx="8">
                  <c:v>41737.744777332045</c:v>
                </c:pt>
                <c:pt idx="9">
                  <c:v>41047.739607892559</c:v>
                </c:pt>
                <c:pt idx="10">
                  <c:v>43574.095820391871</c:v>
                </c:pt>
                <c:pt idx="11">
                  <c:v>46603.628999139517</c:v>
                </c:pt>
                <c:pt idx="12">
                  <c:v>50141.07305116002</c:v>
                </c:pt>
                <c:pt idx="13">
                  <c:v>54011.958543792069</c:v>
                </c:pt>
                <c:pt idx="14">
                  <c:v>57430.476388279683</c:v>
                </c:pt>
                <c:pt idx="15">
                  <c:v>60352.881376741767</c:v>
                </c:pt>
                <c:pt idx="16">
                  <c:v>63765.72617095444</c:v>
                </c:pt>
                <c:pt idx="17">
                  <c:v>67012.130609467815</c:v>
                </c:pt>
                <c:pt idx="18">
                  <c:v>70758.280036130702</c:v>
                </c:pt>
                <c:pt idx="19">
                  <c:v>74536.295196130915</c:v>
                </c:pt>
                <c:pt idx="20">
                  <c:v>78254.426028561924</c:v>
                </c:pt>
                <c:pt idx="21">
                  <c:v>81716.716747669343</c:v>
                </c:pt>
                <c:pt idx="22">
                  <c:v>85691.395236910088</c:v>
                </c:pt>
                <c:pt idx="23">
                  <c:v>89356.311726297761</c:v>
                </c:pt>
                <c:pt idx="24">
                  <c:v>93064.491624338203</c:v>
                </c:pt>
                <c:pt idx="25">
                  <c:v>96878.926879888299</c:v>
                </c:pt>
                <c:pt idx="26">
                  <c:v>99536.255973594773</c:v>
                </c:pt>
                <c:pt idx="27">
                  <c:v>103510.85838417095</c:v>
                </c:pt>
                <c:pt idx="28">
                  <c:v>109574.72474823961</c:v>
                </c:pt>
                <c:pt idx="29">
                  <c:v>119288.14001651411</c:v>
                </c:pt>
                <c:pt idx="30">
                  <c:v>119698.24156661353</c:v>
                </c:pt>
                <c:pt idx="31">
                  <c:v>123492.71695148906</c:v>
                </c:pt>
                <c:pt idx="32">
                  <c:v>118224.57372658084</c:v>
                </c:pt>
                <c:pt idx="33">
                  <c:v>112683.59293982331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457C-4D63-BC5F-0B1F22CEFF6D}"/>
            </c:ext>
          </c:extLst>
        </c:ser>
        <c:ser>
          <c:idx val="14"/>
          <c:order val="14"/>
          <c:tx>
            <c:strRef>
              <c:f>GBD_America_Latina_2023_pacient!$A$512</c:f>
              <c:strCache>
                <c:ptCount val="1"/>
                <c:pt idx="0">
                  <c:v>Guatemala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GBD_America_Latina_2023_pacient!$B$512:$B$545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GBD_America_Latina_2023_pacient!$D$512:$D$545</c:f>
              <c:numCache>
                <c:formatCode>0.00</c:formatCode>
                <c:ptCount val="34"/>
                <c:pt idx="0">
                  <c:v>51675.95996045247</c:v>
                </c:pt>
                <c:pt idx="1">
                  <c:v>53477.534819934845</c:v>
                </c:pt>
                <c:pt idx="2">
                  <c:v>57134.056959843248</c:v>
                </c:pt>
                <c:pt idx="3">
                  <c:v>56729.422155485896</c:v>
                </c:pt>
                <c:pt idx="4">
                  <c:v>54314.725217571911</c:v>
                </c:pt>
                <c:pt idx="5">
                  <c:v>52794.042700143174</c:v>
                </c:pt>
                <c:pt idx="6">
                  <c:v>52768.280083734724</c:v>
                </c:pt>
                <c:pt idx="7">
                  <c:v>53223.711286564831</c:v>
                </c:pt>
                <c:pt idx="8">
                  <c:v>58146.033446952628</c:v>
                </c:pt>
                <c:pt idx="9">
                  <c:v>61872.297256260113</c:v>
                </c:pt>
                <c:pt idx="10">
                  <c:v>64494.282548302501</c:v>
                </c:pt>
                <c:pt idx="11">
                  <c:v>68618.565142090054</c:v>
                </c:pt>
                <c:pt idx="12">
                  <c:v>69195.646885018927</c:v>
                </c:pt>
                <c:pt idx="13">
                  <c:v>74788.413697388241</c:v>
                </c:pt>
                <c:pt idx="14">
                  <c:v>80406.101259101735</c:v>
                </c:pt>
                <c:pt idx="15">
                  <c:v>86959.579908044179</c:v>
                </c:pt>
                <c:pt idx="16">
                  <c:v>95102.490680901727</c:v>
                </c:pt>
                <c:pt idx="17">
                  <c:v>102128.07497047434</c:v>
                </c:pt>
                <c:pt idx="18">
                  <c:v>113891.24608825083</c:v>
                </c:pt>
                <c:pt idx="19">
                  <c:v>120900.74243217691</c:v>
                </c:pt>
                <c:pt idx="20">
                  <c:v>133890.03782456461</c:v>
                </c:pt>
                <c:pt idx="21">
                  <c:v>140990.65683236448</c:v>
                </c:pt>
                <c:pt idx="22">
                  <c:v>148604.93481970593</c:v>
                </c:pt>
                <c:pt idx="23">
                  <c:v>154451.39556112519</c:v>
                </c:pt>
                <c:pt idx="24">
                  <c:v>159547.17337929795</c:v>
                </c:pt>
                <c:pt idx="25">
                  <c:v>162920.62314506006</c:v>
                </c:pt>
                <c:pt idx="26">
                  <c:v>165988.27589197247</c:v>
                </c:pt>
                <c:pt idx="27">
                  <c:v>173553.86073778095</c:v>
                </c:pt>
                <c:pt idx="28">
                  <c:v>178456.84995213518</c:v>
                </c:pt>
                <c:pt idx="29">
                  <c:v>187501.46494356907</c:v>
                </c:pt>
                <c:pt idx="30">
                  <c:v>196199.57281192709</c:v>
                </c:pt>
                <c:pt idx="31">
                  <c:v>200328.07890115003</c:v>
                </c:pt>
                <c:pt idx="32">
                  <c:v>201870.9445580031</c:v>
                </c:pt>
                <c:pt idx="33">
                  <c:v>204727.49851364389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457C-4D63-BC5F-0B1F22CEFF6D}"/>
            </c:ext>
          </c:extLst>
        </c:ser>
        <c:ser>
          <c:idx val="15"/>
          <c:order val="15"/>
          <c:tx>
            <c:strRef>
              <c:f>GBD_America_Latina_2023_pacient!$A$546</c:f>
              <c:strCache>
                <c:ptCount val="1"/>
                <c:pt idx="0">
                  <c:v>Cuba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GBD_America_Latina_2023_pacient!$B$546:$B$579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GBD_America_Latina_2023_pacient!$D$546:$D$579</c:f>
              <c:numCache>
                <c:formatCode>0.00</c:formatCode>
                <c:ptCount val="34"/>
                <c:pt idx="0">
                  <c:v>44076.376547142121</c:v>
                </c:pt>
                <c:pt idx="1">
                  <c:v>44764.253186254573</c:v>
                </c:pt>
                <c:pt idx="2">
                  <c:v>45375.671892941005</c:v>
                </c:pt>
                <c:pt idx="3">
                  <c:v>46625.533016008878</c:v>
                </c:pt>
                <c:pt idx="4">
                  <c:v>47564.30450218144</c:v>
                </c:pt>
                <c:pt idx="5">
                  <c:v>48075.974683916284</c:v>
                </c:pt>
                <c:pt idx="6">
                  <c:v>49501.199761373799</c:v>
                </c:pt>
                <c:pt idx="7">
                  <c:v>51518.860326515409</c:v>
                </c:pt>
                <c:pt idx="8">
                  <c:v>53500.940967830902</c:v>
                </c:pt>
                <c:pt idx="9">
                  <c:v>56008.979448249382</c:v>
                </c:pt>
                <c:pt idx="10">
                  <c:v>60239.817157736157</c:v>
                </c:pt>
                <c:pt idx="11">
                  <c:v>67866.955292591301</c:v>
                </c:pt>
                <c:pt idx="12">
                  <c:v>69729.672893290699</c:v>
                </c:pt>
                <c:pt idx="13">
                  <c:v>72647.436771422479</c:v>
                </c:pt>
                <c:pt idx="14">
                  <c:v>73517.398199195377</c:v>
                </c:pt>
                <c:pt idx="15">
                  <c:v>75229.774209993426</c:v>
                </c:pt>
                <c:pt idx="16">
                  <c:v>76373.432595367951</c:v>
                </c:pt>
                <c:pt idx="17">
                  <c:v>77278.694743527332</c:v>
                </c:pt>
                <c:pt idx="18">
                  <c:v>79391.532223922302</c:v>
                </c:pt>
                <c:pt idx="19">
                  <c:v>81452.562708808735</c:v>
                </c:pt>
                <c:pt idx="20">
                  <c:v>84438.998995285801</c:v>
                </c:pt>
                <c:pt idx="21">
                  <c:v>84065.609397396765</c:v>
                </c:pt>
                <c:pt idx="22">
                  <c:v>86157.813170869355</c:v>
                </c:pt>
                <c:pt idx="23">
                  <c:v>89355.660696280407</c:v>
                </c:pt>
                <c:pt idx="24">
                  <c:v>91963.202179320826</c:v>
                </c:pt>
                <c:pt idx="25">
                  <c:v>95060.110885469578</c:v>
                </c:pt>
                <c:pt idx="26">
                  <c:v>97512.905856814963</c:v>
                </c:pt>
                <c:pt idx="27">
                  <c:v>102035.21535104496</c:v>
                </c:pt>
                <c:pt idx="28">
                  <c:v>105552.00599117523</c:v>
                </c:pt>
                <c:pt idx="29">
                  <c:v>109418.66789106044</c:v>
                </c:pt>
                <c:pt idx="30">
                  <c:v>115552.07681600566</c:v>
                </c:pt>
                <c:pt idx="31">
                  <c:v>124793.2788690358</c:v>
                </c:pt>
                <c:pt idx="32">
                  <c:v>106801.71035422052</c:v>
                </c:pt>
                <c:pt idx="33">
                  <c:v>111784.28352522908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457C-4D63-BC5F-0B1F22CEFF6D}"/>
            </c:ext>
          </c:extLst>
        </c:ser>
        <c:ser>
          <c:idx val="16"/>
          <c:order val="16"/>
          <c:tx>
            <c:strRef>
              <c:f>GBD_America_Latina_2023_pacient!$A$580</c:f>
              <c:strCache>
                <c:ptCount val="1"/>
                <c:pt idx="0">
                  <c:v>República Dominicana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GBD_America_Latina_2023_pacient!$B$580:$B$613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GBD_America_Latina_2023_pacient!$D$580:$D$613</c:f>
              <c:numCache>
                <c:formatCode>0.00</c:formatCode>
                <c:ptCount val="34"/>
                <c:pt idx="0">
                  <c:v>35791.88032142922</c:v>
                </c:pt>
                <c:pt idx="1">
                  <c:v>36111.437251082076</c:v>
                </c:pt>
                <c:pt idx="2">
                  <c:v>36308.736581632569</c:v>
                </c:pt>
                <c:pt idx="3">
                  <c:v>36330.632468037111</c:v>
                </c:pt>
                <c:pt idx="4">
                  <c:v>36472.855908214355</c:v>
                </c:pt>
                <c:pt idx="5">
                  <c:v>36797.856542190209</c:v>
                </c:pt>
                <c:pt idx="6">
                  <c:v>37694.738837618264</c:v>
                </c:pt>
                <c:pt idx="7">
                  <c:v>38485.287047063241</c:v>
                </c:pt>
                <c:pt idx="8">
                  <c:v>39385.679821195037</c:v>
                </c:pt>
                <c:pt idx="9">
                  <c:v>40846.334611620128</c:v>
                </c:pt>
                <c:pt idx="10">
                  <c:v>42849.588292365544</c:v>
                </c:pt>
                <c:pt idx="11">
                  <c:v>45458.899402549003</c:v>
                </c:pt>
                <c:pt idx="12">
                  <c:v>47777.879510586128</c:v>
                </c:pt>
                <c:pt idx="13">
                  <c:v>49480.786774874541</c:v>
                </c:pt>
                <c:pt idx="14">
                  <c:v>51315.988020970421</c:v>
                </c:pt>
                <c:pt idx="15">
                  <c:v>53338.589283055742</c:v>
                </c:pt>
                <c:pt idx="16">
                  <c:v>55593.501220158127</c:v>
                </c:pt>
                <c:pt idx="17">
                  <c:v>57962.298187355031</c:v>
                </c:pt>
                <c:pt idx="18">
                  <c:v>60319.536880394633</c:v>
                </c:pt>
                <c:pt idx="19">
                  <c:v>62677.444176110155</c:v>
                </c:pt>
                <c:pt idx="20">
                  <c:v>65192.955874708321</c:v>
                </c:pt>
                <c:pt idx="21">
                  <c:v>68673.145562961829</c:v>
                </c:pt>
                <c:pt idx="22">
                  <c:v>71811.893618272486</c:v>
                </c:pt>
                <c:pt idx="23">
                  <c:v>74346.862529031394</c:v>
                </c:pt>
                <c:pt idx="24">
                  <c:v>76497.637552617365</c:v>
                </c:pt>
                <c:pt idx="25">
                  <c:v>80717.136891713846</c:v>
                </c:pt>
                <c:pt idx="26">
                  <c:v>84596.18333042931</c:v>
                </c:pt>
                <c:pt idx="27">
                  <c:v>88354.510396160142</c:v>
                </c:pt>
                <c:pt idx="28">
                  <c:v>92426.23437686461</c:v>
                </c:pt>
                <c:pt idx="29">
                  <c:v>96632.611161208217</c:v>
                </c:pt>
                <c:pt idx="30">
                  <c:v>103927.49079805442</c:v>
                </c:pt>
                <c:pt idx="31">
                  <c:v>108163.0505677231</c:v>
                </c:pt>
                <c:pt idx="32">
                  <c:v>111823.10036815635</c:v>
                </c:pt>
                <c:pt idx="33">
                  <c:v>115617.13065630598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457C-4D63-BC5F-0B1F22CEFF6D}"/>
            </c:ext>
          </c:extLst>
        </c:ser>
        <c:ser>
          <c:idx val="17"/>
          <c:order val="17"/>
          <c:tx>
            <c:strRef>
              <c:f>GBD_America_Latina_2023_pacient!$A$614</c:f>
              <c:strCache>
                <c:ptCount val="1"/>
                <c:pt idx="0">
                  <c:v>Honduras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GBD_America_Latina_2023_pacient!$B$614:$B$647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xVal>
          <c:yVal>
            <c:numRef>
              <c:f>GBD_America_Latina_2023_pacient!$D$614:$D$647</c:f>
              <c:numCache>
                <c:formatCode>0.00</c:formatCode>
                <c:ptCount val="34"/>
                <c:pt idx="0">
                  <c:v>19885.956849180991</c:v>
                </c:pt>
                <c:pt idx="1">
                  <c:v>20517.382784281421</c:v>
                </c:pt>
                <c:pt idx="2">
                  <c:v>21188.05034573111</c:v>
                </c:pt>
                <c:pt idx="3">
                  <c:v>22070.63773391474</c:v>
                </c:pt>
                <c:pt idx="4">
                  <c:v>22986.771031879445</c:v>
                </c:pt>
                <c:pt idx="5">
                  <c:v>23816.926889375616</c:v>
                </c:pt>
                <c:pt idx="6">
                  <c:v>24938.836306211007</c:v>
                </c:pt>
                <c:pt idx="7">
                  <c:v>25973.411172886572</c:v>
                </c:pt>
                <c:pt idx="8">
                  <c:v>26958.781716558729</c:v>
                </c:pt>
                <c:pt idx="9">
                  <c:v>28051.050177228273</c:v>
                </c:pt>
                <c:pt idx="10">
                  <c:v>29089.060318095799</c:v>
                </c:pt>
                <c:pt idx="11">
                  <c:v>30263.062168373264</c:v>
                </c:pt>
                <c:pt idx="12">
                  <c:v>31711.258305316147</c:v>
                </c:pt>
                <c:pt idx="13">
                  <c:v>33173.170130865707</c:v>
                </c:pt>
                <c:pt idx="14">
                  <c:v>34608.649449003096</c:v>
                </c:pt>
                <c:pt idx="15">
                  <c:v>35747.221330693137</c:v>
                </c:pt>
                <c:pt idx="16">
                  <c:v>36854.315514299589</c:v>
                </c:pt>
                <c:pt idx="17">
                  <c:v>37944.229357003576</c:v>
                </c:pt>
                <c:pt idx="18">
                  <c:v>39111.444675438986</c:v>
                </c:pt>
                <c:pt idx="19">
                  <c:v>40345.552673315287</c:v>
                </c:pt>
                <c:pt idx="20">
                  <c:v>41899.811429622765</c:v>
                </c:pt>
                <c:pt idx="21">
                  <c:v>44007.732097612097</c:v>
                </c:pt>
                <c:pt idx="22">
                  <c:v>47721.391999134685</c:v>
                </c:pt>
                <c:pt idx="23">
                  <c:v>49316.975255333011</c:v>
                </c:pt>
                <c:pt idx="24">
                  <c:v>51074.852620459664</c:v>
                </c:pt>
                <c:pt idx="25">
                  <c:v>52807.937579138059</c:v>
                </c:pt>
                <c:pt idx="26">
                  <c:v>53870.338318611575</c:v>
                </c:pt>
                <c:pt idx="27">
                  <c:v>55703.740175126564</c:v>
                </c:pt>
                <c:pt idx="28">
                  <c:v>57853.167606622403</c:v>
                </c:pt>
                <c:pt idx="29">
                  <c:v>59925.130575886731</c:v>
                </c:pt>
                <c:pt idx="30">
                  <c:v>58917.10143783188</c:v>
                </c:pt>
                <c:pt idx="31">
                  <c:v>63782.362527395337</c:v>
                </c:pt>
                <c:pt idx="32">
                  <c:v>65155.183876798998</c:v>
                </c:pt>
                <c:pt idx="33">
                  <c:v>66828.741802275254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457C-4D63-BC5F-0B1F22CEF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738479"/>
        <c:axId val="1663741839"/>
      </c:scatterChart>
      <c:valAx>
        <c:axId val="166373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741839"/>
        <c:crosses val="autoZero"/>
        <c:crossBetween val="midCat"/>
      </c:valAx>
      <c:valAx>
        <c:axId val="166374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73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300568</xdr:colOff>
      <xdr:row>0</xdr:row>
      <xdr:rowOff>158395</xdr:rowOff>
    </xdr:from>
    <xdr:to>
      <xdr:col>11</xdr:col>
      <xdr:colOff>39688</xdr:colOff>
      <xdr:row>41</xdr:row>
      <xdr:rowOff>158749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EF94A2-C190-7A77-981C-521EC2CB1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111125</xdr:colOff>
      <xdr:row>24</xdr:row>
      <xdr:rowOff>47625</xdr:rowOff>
    </xdr:from>
    <xdr:to>
      <xdr:col>17</xdr:col>
      <xdr:colOff>726108</xdr:colOff>
      <xdr:row>26</xdr:row>
      <xdr:rowOff>166687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66CAE6-BD7C-B757-4E90-DF88AF783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000" y="4429125"/>
          <a:ext cx="2281858" cy="484187"/>
        </a:xfrm>
        <a:prstGeom prst="rect">
          <a:avLst/>
        </a:prstGeom>
      </xdr:spPr>
    </xdr:pic>
    <xdr:clientData/>
  </xdr:twoCellAnchor>
  <xdr:twoCellAnchor editAs="oneCell">
    <xdr:from>
      <xdr:col>16</xdr:col>
      <xdr:colOff>150813</xdr:colOff>
      <xdr:row>29</xdr:row>
      <xdr:rowOff>47625</xdr:rowOff>
    </xdr:from>
    <xdr:to>
      <xdr:col>16</xdr:col>
      <xdr:colOff>1531938</xdr:colOff>
      <xdr:row>31</xdr:row>
      <xdr:rowOff>44223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4850F4-5501-0B84-9E99-D8136827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66688" y="5341938"/>
          <a:ext cx="1381125" cy="3617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iscila Gutierrez Sidoli" id="{4A8A1B0D-A4A1-4C31-8A3E-75C4A71EAE7A}" userId="f569b11a287a01cd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97A3F7A-2C27-41BB-8640-E7C6DFA232F0}" autoFormatId="16" applyNumberFormats="0" applyBorderFormats="0" applyFontFormats="0" applyPatternFormats="0" applyAlignmentFormats="0" applyWidthHeightFormats="0">
  <queryTableRefresh nextId="5">
    <queryTableFields count="4">
      <queryTableField id="1" name="Localidad/ubicación" tableColumnId="1"/>
      <queryTableField id="2" name="Año" tableColumnId="2"/>
      <queryTableField id="3" name="Causa de muerte o lesión" tableColumnId="3"/>
      <queryTableField id="4" name="Val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14D8F-6DE1-4959-A3C0-245FF6CD6B59}" name="pacientes_renales_latam" displayName="pacientes_renales_latam" ref="A1:D647" tableType="queryTable" totalsRowShown="0">
  <autoFilter ref="A1:D647" xr:uid="{2FC14D8F-6DE1-4959-A3C0-245FF6CD6B59}"/>
  <tableColumns count="4">
    <tableColumn id="1" xr3:uid="{C1FD2254-94C9-4295-AA39-498D146E1439}" uniqueName="1" name="País" queryTableFieldId="1" dataDxfId="2"/>
    <tableColumn id="2" xr3:uid="{E6ABE61E-A0C0-4D18-8953-D563BF60AE28}" uniqueName="2" name="Año" queryTableFieldId="2"/>
    <tableColumn id="3" xr3:uid="{4AC1C90C-6A0E-45BF-A24D-49786A8C5433}" uniqueName="3" name="Causa de muerte o lesión" queryTableFieldId="3" dataDxfId="1"/>
    <tableColumn id="4" xr3:uid="{89C9AD41-69EC-49BB-B199-B9176E0CEEB4}" uniqueName="4" name="Valo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6-02-25T17:40:59.08" personId="{4A8A1B0D-A4A1-4C31-8A3E-75C4A71EAE7A}" id="{F3790574-6332-4EC6-86C1-CE08ADE76E47}">
    <text>Es bajo R pero es más probable que continúe una tendencia incremental en vez de tomar la línea de tendencia polinómica grado 3 que predice un decrecimiento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31DA-3712-408F-B7CF-BB67B8E2271E}">
  <dimension ref="A1:U647"/>
  <sheetViews>
    <sheetView tabSelected="1" zoomScale="70" zoomScaleNormal="70" zoomScaleSheetLayoutView="50" workbookViewId="0">
      <selection activeCell="H43" sqref="H43"/>
    </sheetView>
  </sheetViews>
  <sheetFormatPr baseColWidth="10" defaultRowHeight="14.5" x14ac:dyDescent="0.35"/>
  <cols>
    <col min="1" max="1" width="12.08984375" customWidth="1"/>
    <col min="2" max="2" width="6.26953125" bestFit="1" customWidth="1"/>
    <col min="3" max="3" width="24.1796875" hidden="1" customWidth="1"/>
    <col min="4" max="4" width="12.1796875" customWidth="1"/>
    <col min="12" max="12" width="2.6328125" customWidth="1"/>
    <col min="13" max="13" width="2.81640625" customWidth="1"/>
    <col min="14" max="14" width="19.81640625" customWidth="1"/>
    <col min="15" max="15" width="29.90625" customWidth="1"/>
    <col min="16" max="16" width="27" bestFit="1" customWidth="1"/>
    <col min="17" max="17" width="23.81640625" customWidth="1"/>
    <col min="18" max="18" width="19.453125" customWidth="1"/>
    <col min="19" max="19" width="19.453125" bestFit="1" customWidth="1"/>
    <col min="20" max="20" width="21" customWidth="1"/>
    <col min="21" max="21" width="22.26953125" customWidth="1"/>
  </cols>
  <sheetData>
    <row r="1" spans="1:21" x14ac:dyDescent="0.35">
      <c r="A1" t="s">
        <v>23</v>
      </c>
      <c r="B1" t="s">
        <v>0</v>
      </c>
      <c r="C1" t="s">
        <v>1</v>
      </c>
      <c r="D1" t="s">
        <v>2</v>
      </c>
      <c r="N1" s="7" t="s">
        <v>23</v>
      </c>
      <c r="O1" s="8" t="s">
        <v>24</v>
      </c>
      <c r="P1" s="8" t="s">
        <v>43</v>
      </c>
      <c r="Q1" s="8" t="s">
        <v>44</v>
      </c>
      <c r="R1" s="9" t="s">
        <v>45</v>
      </c>
      <c r="S1" s="9" t="s">
        <v>25</v>
      </c>
      <c r="T1" s="9" t="s">
        <v>26</v>
      </c>
      <c r="U1" s="10" t="s">
        <v>50</v>
      </c>
    </row>
    <row r="2" spans="1:21" ht="14.5" customHeight="1" x14ac:dyDescent="0.35">
      <c r="A2" t="s">
        <v>3</v>
      </c>
      <c r="B2">
        <v>1990</v>
      </c>
      <c r="C2" t="s">
        <v>4</v>
      </c>
      <c r="D2" s="1">
        <v>222577.97153561283</v>
      </c>
      <c r="N2" s="5" t="str" cm="1">
        <f t="array" ref="N2:N20">_xlfn.UNIQUE(pacientes_renales_latam[País])</f>
        <v>Argentina</v>
      </c>
      <c r="O2" t="s">
        <v>27</v>
      </c>
      <c r="P2" s="11" cm="1">
        <f t="array" ref="P2">SLOPE(
   _xlfn._xlws.FILTER(D:D, A:A=N2),
   _xlfn._xlws.FILTER(B:B, A:A=N2)
)</f>
        <v>3402.5320366580695</v>
      </c>
      <c r="Q2" cm="1">
        <f t="array" ref="Q2">INTERCEPT(
   _xlfn._xlws.FILTER(D:D, A:A=N2),
   _xlfn._xlws.FILTER(B:B, A:A=N2)
)</f>
        <v>-6532935.0000831047</v>
      </c>
      <c r="S2" s="12" cm="1">
        <f t="array" ref="S2">_xlfn.LET(
  _xlpm.y, _xlfn._xlws.FILTER(D:D, A:A=N2),
  _xlpm.x, _xlfn._xlws.FILTER(B:B, A:A=N2),
  SLOPE(_xlpm.y,_xlpm.x)*2026 + INTERCEPT(_xlpm.y,_xlpm.x)
)</f>
        <v>360594.90618614387</v>
      </c>
      <c r="T2" t="str">
        <f>IF(S2&gt;D35,"mayor a 2023","menor a 2023")</f>
        <v>menor a 2023</v>
      </c>
      <c r="U2" s="13">
        <f>P2/(P2*2023+Q2)</f>
        <v>9.7107741599386198E-3</v>
      </c>
    </row>
    <row r="3" spans="1:21" x14ac:dyDescent="0.35">
      <c r="A3" t="s">
        <v>3</v>
      </c>
      <c r="B3">
        <v>1991</v>
      </c>
      <c r="C3" t="s">
        <v>4</v>
      </c>
      <c r="D3" s="1">
        <v>229805.7483190413</v>
      </c>
      <c r="N3" s="5" t="str">
        <v>Estados Unidos de América</v>
      </c>
      <c r="P3" s="11" cm="1">
        <f t="array" ref="P3">SLOPE(
   _xlfn._xlws.FILTER(D:D, A:A=N3),
   _xlfn._xlws.FILTER(B:B, A:A=N3)
)</f>
        <v>80949.653640235483</v>
      </c>
      <c r="Q3" cm="1">
        <f t="array" ref="Q3">INTERCEPT(
   _xlfn._xlws.FILTER(D:D, A:A=N3),
   _xlfn._xlws.FILTER(B:B, A:A=N3)
)</f>
        <v>-160596258.38472664</v>
      </c>
      <c r="S3" s="12" cm="1">
        <f t="array" ref="S3">_xlfn.LET(
  _xlpm.y, _xlfn._xlws.FILTER(D:D, A:A=N3),
  _xlpm.x, _xlfn._xlws.FILTER(B:B, A:A=N3),
  SLOPE(_xlpm.y,_xlpm.x)*2026 + INTERCEPT(_xlpm.y,_xlpm.x)
)</f>
        <v>3407739.8903904557</v>
      </c>
      <c r="T3" t="str">
        <f>IF(S3&gt;D69,"mayor a 2023","menor a 2023")</f>
        <v>mayor a 2023</v>
      </c>
      <c r="U3" s="13">
        <f t="shared" ref="U3:U18" si="0">P3/(P3*2023+Q3)</f>
        <v>2.5577391273258917E-2</v>
      </c>
    </row>
    <row r="4" spans="1:21" x14ac:dyDescent="0.35">
      <c r="A4" t="s">
        <v>3</v>
      </c>
      <c r="B4">
        <v>1992</v>
      </c>
      <c r="C4" t="s">
        <v>4</v>
      </c>
      <c r="D4" s="1">
        <v>238479.41158874184</v>
      </c>
      <c r="N4" s="5" t="str">
        <v>Perú</v>
      </c>
      <c r="O4" t="s">
        <v>28</v>
      </c>
      <c r="P4" s="11" cm="1">
        <f t="array" ref="P4">SLOPE(
   LN(_xlfn._xlws.FILTER(D:D, (A:A=N4)*(D:D&gt;0)*(B:B&lt;&gt;"")*(D:D&lt;&gt;""))),
   _xlfn._xlws.FILTER(--B:B, (A:A=N4)*(D:D&gt;0)*(B:B&lt;&gt;"")*(D:D&lt;&gt;""))
)</f>
        <v>2.3122959496472872E-2</v>
      </c>
      <c r="Q4" cm="1">
        <f t="array" ref="Q4">INTERCEPT(
   LN(_xlfn._xlws.FILTER(D:D, (A:A=N4)*(D:D&gt;0)*(B:B&lt;&gt;"")*(D:D&lt;&gt;""))),
   _xlfn._xlws.FILTER(--B:B, (A:A=N4)*(D:D&gt;0)*(B:B&lt;&gt;"")*(D:D&lt;&gt;""))
)</f>
        <v>-34.543230893128602</v>
      </c>
      <c r="R4">
        <f>EXP(Q4)</f>
        <v>9.9555540834422394E-16</v>
      </c>
      <c r="S4" s="12">
        <f xml:space="preserve"> R4*EXP(P4*2026)</f>
        <v>220551.17800311829</v>
      </c>
      <c r="T4" t="str">
        <f>IF(S4&gt;D103,"mayor a 2023","menor a 2023")</f>
        <v>menor a 2023</v>
      </c>
      <c r="U4" s="13">
        <f>EXP(P4) - 1</f>
        <v>2.3392367621397625E-2</v>
      </c>
    </row>
    <row r="5" spans="1:21" x14ac:dyDescent="0.35">
      <c r="A5" t="s">
        <v>3</v>
      </c>
      <c r="B5">
        <v>1993</v>
      </c>
      <c r="C5" t="s">
        <v>4</v>
      </c>
      <c r="D5" s="1">
        <v>241145.17054545102</v>
      </c>
      <c r="N5" s="5" t="str">
        <v>México</v>
      </c>
      <c r="O5" t="s">
        <v>29</v>
      </c>
      <c r="P5" s="11" cm="1">
        <f t="array" ref="P5">SLOPE(
   _xlfn._xlws.FILTER(D:D, A:A=N5),
   _xlfn._xlws.FILTER(B:B, A:A=N5)
)</f>
        <v>54076.130546776083</v>
      </c>
      <c r="Q5" cm="1">
        <f t="array" ref="Q5">INTERCEPT(
   _xlfn._xlws.FILTER(D:D, A:A=N5),
   _xlfn._xlws.FILTER(B:B, A:A=N5)
)</f>
        <v>-107134567.27412881</v>
      </c>
      <c r="S5" s="12" cm="1">
        <f t="array" ref="S5">_xlfn.LET(
  _xlpm.y, _xlfn._xlws.FILTER(D:D, A:A=N5),
  _xlpm.x, _xlfn._xlws.FILTER(B:B, A:A=N5),
  SLOPE(_xlpm.y,_xlpm.x)*2026 + INTERCEPT(_xlpm.y,_xlpm.x)
)</f>
        <v>2423673.2136395276</v>
      </c>
      <c r="T5" t="str">
        <f>IF(S5&gt;D137,"mayor a 2023","menor a 2023")</f>
        <v>mayor a 2023</v>
      </c>
      <c r="U5" s="13">
        <f t="shared" si="0"/>
        <v>2.3912204277869858E-2</v>
      </c>
    </row>
    <row r="6" spans="1:21" x14ac:dyDescent="0.35">
      <c r="A6" t="s">
        <v>3</v>
      </c>
      <c r="B6">
        <v>1994</v>
      </c>
      <c r="C6" t="s">
        <v>4</v>
      </c>
      <c r="D6" s="1">
        <v>233355.90481202913</v>
      </c>
      <c r="N6" s="5" t="str">
        <v>Brasil</v>
      </c>
      <c r="O6" t="s">
        <v>30</v>
      </c>
      <c r="P6" s="11" cm="1">
        <f t="array" ref="P6">SLOPE(
   LN(_xlfn._xlws.FILTER(D:D, (A:A=N6)*(D:D&gt;0)*(B:B&lt;&gt;"")*(D:D&lt;&gt;""))),
   _xlfn._xlws.FILTER(--B:B, (A:A=N6)*(D:D&gt;0)*(B:B&lt;&gt;"")*(D:D&lt;&gt;""))
)</f>
        <v>2.6516275773190989E-2</v>
      </c>
      <c r="Q6" cm="1">
        <f t="array" ref="Q6">INTERCEPT(
   LN(_xlfn._xlws.FILTER(D:D, (A:A=N6)*(D:D&gt;0)*(B:B&lt;&gt;"")*(D:D&lt;&gt;""))),
   _xlfn._xlws.FILTER(--B:B, (A:A=N6)*(D:D&gt;0)*(B:B&lt;&gt;"")*(D:D&lt;&gt;""))
)</f>
        <v>-39.484113369387515</v>
      </c>
      <c r="R6">
        <f>EXP(Q6)</f>
        <v>7.1165161756575272E-18</v>
      </c>
      <c r="S6" s="12">
        <f>R6*EXP(P6*2026)</f>
        <v>1525543.5749411278</v>
      </c>
      <c r="T6" t="str">
        <f>IF(S6&gt;D171,"mayor a 2023","menor a 2023")</f>
        <v>mayor a 2023</v>
      </c>
      <c r="U6" s="13">
        <f>EXP(P6) - 1</f>
        <v>2.6870960244518738E-2</v>
      </c>
    </row>
    <row r="7" spans="1:21" x14ac:dyDescent="0.35">
      <c r="A7" t="s">
        <v>3</v>
      </c>
      <c r="B7">
        <v>1995</v>
      </c>
      <c r="C7" t="s">
        <v>4</v>
      </c>
      <c r="D7" s="1">
        <v>241768.80155775018</v>
      </c>
      <c r="N7" s="5" t="str">
        <v>Bolivia</v>
      </c>
      <c r="O7" t="s">
        <v>31</v>
      </c>
      <c r="P7" s="11" cm="1">
        <f t="array" ref="P7">SLOPE(
   _xlfn._xlws.FILTER(D:D, A:A=N7),
   _xlfn._xlws.FILTER(B:B, A:A=N7)
)</f>
        <v>3575.8961246588606</v>
      </c>
      <c r="Q7" cm="1">
        <f t="array" ref="Q7">INTERCEPT(
   _xlfn._xlws.FILTER(D:D, A:A=N7),
   _xlfn._xlws.FILTER(B:B, A:A=N7)
)</f>
        <v>-7079416.8065392906</v>
      </c>
      <c r="S7" s="12" cm="1">
        <f t="array" ref="S7">_xlfn.LET(
  _xlpm.y, _xlfn._xlws.FILTER(D:D, A:A=N7),
  _xlpm.x, _xlfn._xlws.FILTER(B:B, A:A=N7),
  SLOPE(_xlpm.y,_xlpm.x)*2026 + INTERCEPT(_xlpm.y,_xlpm.x)
)</f>
        <v>165348.74201956112</v>
      </c>
      <c r="T7" t="str">
        <f>IF(S7&gt;D40,"mayor a 2023","menor a 2023")</f>
        <v>menor a 2023</v>
      </c>
      <c r="U7" s="13">
        <f t="shared" si="0"/>
        <v>2.312683842431552E-2</v>
      </c>
    </row>
    <row r="8" spans="1:21" x14ac:dyDescent="0.35">
      <c r="A8" t="s">
        <v>3</v>
      </c>
      <c r="B8">
        <v>1996</v>
      </c>
      <c r="C8" t="s">
        <v>4</v>
      </c>
      <c r="D8" s="1">
        <v>244915.21916001878</v>
      </c>
      <c r="N8" s="5" t="str">
        <v>Ecuador</v>
      </c>
      <c r="O8" t="s">
        <v>49</v>
      </c>
      <c r="P8" s="11" cm="1">
        <f t="array" ref="P8">SLOPE(
   _xlfn._xlws.FILTER(D:D, A:A=N8),
   _xlfn._xlws.FILTER(B:B, A:A=N8)
)</f>
        <v>2417.3396643154133</v>
      </c>
      <c r="Q8" cm="1">
        <f t="array" ref="Q8">INTERCEPT(
   _xlfn._xlws.FILTER(D:D, A:A=N8),
   _xlfn._xlws.FILTER(B:B, A:A=N8)
)</f>
        <v>-4733646.9624792719</v>
      </c>
      <c r="S8" s="12" cm="1">
        <f t="array" ref="S8">_xlfn.LET(
  _xlpm.y, _xlfn._xlws.FILTER(D:D, A:A=N8),
  _xlpm.x, _xlfn._xlws.FILTER(B:B, A:A=N8),
  SLOPE(_xlpm.y,_xlpm.x)*2026 + INTERCEPT(_xlpm.y,_xlpm.x)
)</f>
        <v>163883.19742375519</v>
      </c>
      <c r="T8" t="str">
        <f>IF(S8&gt;D239,"mayor a 2023","menor a 2023")</f>
        <v>mayor a 2023</v>
      </c>
      <c r="U8" s="13">
        <f t="shared" si="0"/>
        <v>1.5433323611130529E-2</v>
      </c>
    </row>
    <row r="9" spans="1:21" x14ac:dyDescent="0.35">
      <c r="A9" t="s">
        <v>3</v>
      </c>
      <c r="B9">
        <v>1997</v>
      </c>
      <c r="C9" t="s">
        <v>4</v>
      </c>
      <c r="D9" s="1">
        <v>257498.10110643471</v>
      </c>
      <c r="N9" s="5" t="str">
        <v>Colombia</v>
      </c>
      <c r="O9" t="s">
        <v>32</v>
      </c>
      <c r="P9" s="11" cm="1">
        <f t="array" ref="P9">SLOPE(
   _xlfn._xlws.FILTER(D:D, A:A=N9),
   _xlfn._xlws.FILTER(B:B, A:A=N9)
)</f>
        <v>4925.4030644557615</v>
      </c>
      <c r="Q9" cm="1">
        <f t="array" ref="Q9">INTERCEPT(
   _xlfn._xlws.FILTER(D:D, A:A=N9),
   _xlfn._xlws.FILTER(B:B, A:A=N9)
)</f>
        <v>-9666038.0158146359</v>
      </c>
      <c r="S9" s="12" cm="1">
        <f t="array" ref="S9">_xlfn.LET(
  _xlpm.y, _xlfn._xlws.FILTER(D:D, A:A=N9),
  _xlpm.x, _xlfn._xlws.FILTER(B:B, A:A=N9),
  SLOPE(_xlpm.y,_xlpm.x)*2026 + INTERCEPT(_xlpm.y,_xlpm.x)
)</f>
        <v>312828.59277273715</v>
      </c>
      <c r="T9" t="str">
        <f>IF(S9&gt;D272,"mayor a 2023","menor a 2023")</f>
        <v>mayor a 2023</v>
      </c>
      <c r="U9" s="13">
        <f t="shared" si="0"/>
        <v>1.6525293323628648E-2</v>
      </c>
    </row>
    <row r="10" spans="1:21" x14ac:dyDescent="0.35">
      <c r="A10" t="s">
        <v>3</v>
      </c>
      <c r="B10">
        <v>1998</v>
      </c>
      <c r="C10" t="s">
        <v>4</v>
      </c>
      <c r="D10" s="1">
        <v>270810.47574840207</v>
      </c>
      <c r="N10" s="5" t="str">
        <v>Venezuela</v>
      </c>
      <c r="O10" t="s">
        <v>33</v>
      </c>
      <c r="P10" s="11" cm="1">
        <f t="array" ref="P10">SLOPE(
   LN(_xlfn._xlws.FILTER(D:D, (A:A=N10)*(D:D&gt;0)*(B:B&lt;&gt;"")*(D:D&lt;&gt;""))),
   _xlfn._xlws.FILTER(--B:B, (A:A=N10)*(D:D&gt;0)*(B:B&lt;&gt;"")*(D:D&lt;&gt;""))
)</f>
        <v>5.3028154925227493E-2</v>
      </c>
      <c r="Q10" cm="1">
        <f t="array" ref="Q10">INTERCEPT(
   LN(_xlfn._xlws.FILTER(D:D, (A:A=N10)*(D:D&gt;0)*(B:B&lt;&gt;"")*(D:D&lt;&gt;""))),
   _xlfn._xlws.FILTER(--B:B, (A:A=N10)*(D:D&gt;0)*(B:B&lt;&gt;"")*(D:D&lt;&gt;""))
)</f>
        <v>-94.238277092382717</v>
      </c>
      <c r="R10">
        <f>EXP(Q10)</f>
        <v>1.1825956432724487E-41</v>
      </c>
      <c r="S10" s="12">
        <f>R10*EXP(P10*2026)</f>
        <v>538619.56595292222</v>
      </c>
      <c r="T10" t="str">
        <f>IF(S10&gt;D307,"mayor a 2023","menor a 2023")</f>
        <v>mayor a 2023</v>
      </c>
      <c r="U10" s="13">
        <f>EXP(P10) - 1</f>
        <v>5.4459332925098858E-2</v>
      </c>
    </row>
    <row r="11" spans="1:21" x14ac:dyDescent="0.35">
      <c r="A11" t="s">
        <v>3</v>
      </c>
      <c r="B11">
        <v>1999</v>
      </c>
      <c r="C11" t="s">
        <v>4</v>
      </c>
      <c r="D11" s="1">
        <v>280357.73737956665</v>
      </c>
      <c r="N11" s="5" t="str">
        <v>Paraguay</v>
      </c>
      <c r="O11" t="s">
        <v>34</v>
      </c>
      <c r="P11" s="11" cm="1">
        <f t="array" ref="P11">SLOPE(
   LN(_xlfn._xlws.FILTER(D:D, (A:A=N11)*(D:D&gt;0)*(B:B&lt;&gt;"")*(D:D&lt;&gt;""))),
   _xlfn._xlws.FILTER(--B:B, (A:A=N11)*(D:D&gt;0)*(B:B&lt;&gt;"")*(D:D&lt;&gt;""))
)</f>
        <v>3.712882104106071E-2</v>
      </c>
      <c r="Q11" cm="1">
        <f t="array" ref="Q11">INTERCEPT(
   LN(_xlfn._xlws.FILTER(D:D, (A:A=N11)*(D:D&gt;0)*(B:B&lt;&gt;"")*(D:D&lt;&gt;""))),
   _xlfn._xlws.FILTER(--B:B, (A:A=N11)*(D:D&gt;0)*(B:B&lt;&gt;"")*(D:D&lt;&gt;""))
)</f>
        <v>-64.297981416878883</v>
      </c>
      <c r="R11">
        <f t="shared" ref="R11:R20" si="1">EXP(Q11)</f>
        <v>1.1905330963714846E-28</v>
      </c>
      <c r="S11" s="12">
        <f t="shared" ref="S11" si="2">R11*EXP(P11*2026)</f>
        <v>55548.401140821588</v>
      </c>
      <c r="T11" t="str">
        <f>IF(S11&gt;D341,"mayor a 2023","menor a 2023")</f>
        <v>mayor a 2023</v>
      </c>
      <c r="U11" s="13">
        <f t="shared" ref="U11:U12" si="3">EXP(P11) - 1</f>
        <v>3.7826706143958111E-2</v>
      </c>
    </row>
    <row r="12" spans="1:21" x14ac:dyDescent="0.35">
      <c r="A12" t="s">
        <v>3</v>
      </c>
      <c r="B12">
        <v>2000</v>
      </c>
      <c r="C12" t="s">
        <v>4</v>
      </c>
      <c r="D12" s="1">
        <v>280310.97954060859</v>
      </c>
      <c r="N12" s="5" t="str">
        <v>Guyana</v>
      </c>
      <c r="O12" t="s">
        <v>35</v>
      </c>
      <c r="P12" s="11" cm="1">
        <f t="array" ref="P12">SLOPE(
   LN(_xlfn._xlws.FILTER(D:D, (A:A=N12)*(D:D&gt;0)*(B:B&lt;&gt;"")*(D:D&lt;&gt;""))),
   _xlfn._xlws.FILTER(--B:B, (A:A=N12)*(D:D&gt;0)*(B:B&lt;&gt;"")*(D:D&lt;&gt;""))
)</f>
        <v>3.9421949199346898E-2</v>
      </c>
      <c r="Q12" cm="1">
        <f t="array" ref="Q12">INTERCEPT(
   LN(_xlfn._xlws.FILTER(D:D, (A:A=N12)*(D:D&gt;0)*(B:B&lt;&gt;"")*(D:D&lt;&gt;""))),
   _xlfn._xlws.FILTER(--B:B, (A:A=N12)*(D:D&gt;0)*(B:B&lt;&gt;"")*(D:D&lt;&gt;""))
)</f>
        <v>-70.183017038984261</v>
      </c>
      <c r="R12">
        <f t="shared" si="1"/>
        <v>3.3105715355412841E-31</v>
      </c>
      <c r="S12" s="12">
        <f>R12*EXP(P12*2026)</f>
        <v>16088.37175679085</v>
      </c>
      <c r="T12" t="str">
        <f>IF(S12&gt;D375,"mayor a 2023","menor a 2023")</f>
        <v>mayor a 2023</v>
      </c>
      <c r="U12" s="13">
        <f t="shared" si="3"/>
        <v>4.0209306547212886E-2</v>
      </c>
    </row>
    <row r="13" spans="1:21" x14ac:dyDescent="0.35">
      <c r="A13" t="s">
        <v>3</v>
      </c>
      <c r="B13">
        <v>2001</v>
      </c>
      <c r="C13" t="s">
        <v>4</v>
      </c>
      <c r="D13" s="1">
        <v>292641.12131340167</v>
      </c>
      <c r="N13" s="5" t="str">
        <v>Chile</v>
      </c>
      <c r="O13" t="s">
        <v>36</v>
      </c>
      <c r="P13" s="11" cm="1">
        <f t="array" ref="P13">SLOPE(
   _xlfn._xlws.FILTER(D:D, A:A=N13),
   _xlfn._xlws.FILTER(B:B, A:A=N13)
)</f>
        <v>2044.5887419952498</v>
      </c>
      <c r="Q13" cm="1">
        <f t="array" ref="Q13">INTERCEPT(
   _xlfn._xlws.FILTER(D:D, A:A=N13),
   _xlfn._xlws.FILTER(B:B, A:A=N13)
)</f>
        <v>-4028238.8325426909</v>
      </c>
      <c r="S13" s="12" cm="1">
        <f t="array" ref="S13">_xlfn.LET(
  _xlpm.y, _xlfn._xlws.FILTER(D:D, A:A=N13),
  _xlpm.x, _xlfn._xlws.FILTER(B:B, A:A=N13),
  SLOPE(_xlpm.y,_xlpm.x)*2026 + INTERCEPT(_xlpm.y,_xlpm.x)
)</f>
        <v>114097.95873968536</v>
      </c>
      <c r="T13" t="str">
        <f>IF(S13&gt;D409,"mayor a 2023","menor a 2023")</f>
        <v>mayor a 2023</v>
      </c>
      <c r="U13" s="13">
        <f t="shared" si="0"/>
        <v>1.8937656035688043E-2</v>
      </c>
    </row>
    <row r="14" spans="1:21" x14ac:dyDescent="0.35">
      <c r="A14" t="s">
        <v>3</v>
      </c>
      <c r="B14">
        <v>2002</v>
      </c>
      <c r="C14" t="s">
        <v>4</v>
      </c>
      <c r="D14" s="1">
        <v>305433.60441681411</v>
      </c>
      <c r="N14" s="5" t="str">
        <v>Costa Rica</v>
      </c>
      <c r="O14" t="s">
        <v>34</v>
      </c>
      <c r="P14" s="11" cm="1">
        <f t="array" ref="P14">SLOPE(
   LN(_xlfn._xlws.FILTER(D:D, (A:A=N14)*(D:D&gt;0)*(B:B&lt;&gt;"")*(D:D&lt;&gt;""))),
   _xlfn._xlws.FILTER(--B:B, (A:A=N14)*(D:D&gt;0)*(B:B&lt;&gt;"")*(D:D&lt;&gt;""))
)</f>
        <v>4.7934520208661513E-2</v>
      </c>
      <c r="Q14" cm="1">
        <f t="array" ref="Q14">INTERCEPT(
   LN(_xlfn._xlws.FILTER(D:D, (A:A=N14)*(D:D&gt;0)*(B:B&lt;&gt;"")*(D:D&lt;&gt;""))),
   _xlfn._xlws.FILTER(--B:B, (A:A=N14)*(D:D&gt;0)*(B:B&lt;&gt;"")*(D:D&lt;&gt;""))
)</f>
        <v>-86.009039149709537</v>
      </c>
      <c r="R14">
        <f>EXP(Q14)</f>
        <v>4.4335223636335918E-38</v>
      </c>
      <c r="S14" s="12">
        <f>R14*EXP(P14*2026)</f>
        <v>66589.274035383758</v>
      </c>
      <c r="T14" t="str">
        <f>IF(S14&gt;D443,"mayor a 2023","menor a 2023")</f>
        <v>mayor a 2023</v>
      </c>
      <c r="U14" s="13">
        <f>EXP(P14) - 1</f>
        <v>4.9101958098046072E-2</v>
      </c>
    </row>
    <row r="15" spans="1:21" x14ac:dyDescent="0.35">
      <c r="A15" t="s">
        <v>3</v>
      </c>
      <c r="B15">
        <v>2003</v>
      </c>
      <c r="C15" t="s">
        <v>4</v>
      </c>
      <c r="D15" s="1">
        <v>308417.99786950939</v>
      </c>
      <c r="N15" s="5" t="str">
        <v>El Salvador</v>
      </c>
      <c r="O15" t="s">
        <v>37</v>
      </c>
      <c r="P15" s="11" cm="1">
        <f t="array" ref="P15">SLOPE(
   _xlfn._xlws.FILTER(D:D, A:A=N15),
   _xlfn._xlws.FILTER(B:B, A:A=N15)
)</f>
        <v>3027.9031813426923</v>
      </c>
      <c r="Q15" cm="1">
        <f t="array" ref="Q15">INTERCEPT(
   _xlfn._xlws.FILTER(D:D, A:A=N15),
   _xlfn._xlws.FILTER(B:B, A:A=N15)
)</f>
        <v>-5991294.5353501439</v>
      </c>
      <c r="S15" s="12" cm="1">
        <f t="array" ref="S15">_xlfn.LET(
  _xlpm.y, _xlfn._xlws.FILTER(D:D, A:A=N15),
  _xlpm.x, _xlfn._xlws.FILTER(B:B, A:A=N15),
  SLOPE(_xlpm.y,_xlpm.x)*2026 + INTERCEPT(_xlpm.y,_xlpm.x)
)</f>
        <v>143237.31005015038</v>
      </c>
      <c r="T15" t="str">
        <f>IF(S15&gt;D477,"mayor a 2023","menor a 2023")</f>
        <v>mayor a 2023</v>
      </c>
      <c r="U15" s="13">
        <f t="shared" si="0"/>
        <v>2.2570420547188452E-2</v>
      </c>
    </row>
    <row r="16" spans="1:21" x14ac:dyDescent="0.35">
      <c r="A16" t="s">
        <v>3</v>
      </c>
      <c r="B16">
        <v>2004</v>
      </c>
      <c r="C16" t="s">
        <v>4</v>
      </c>
      <c r="D16" s="1">
        <v>298608.78165371413</v>
      </c>
      <c r="N16" s="5" t="str">
        <v>Nicaragua</v>
      </c>
      <c r="O16" t="s">
        <v>38</v>
      </c>
      <c r="P16" s="11" cm="1">
        <f t="array" ref="P16">SLOPE(
   _xlfn._xlws.FILTER(D:D, A:A=N16),
   _xlfn._xlws.FILTER(B:B, A:A=N16)
)</f>
        <v>3114.5264374296189</v>
      </c>
      <c r="Q16" cm="1">
        <f t="array" ref="Q16">INTERCEPT(
   _xlfn._xlws.FILTER(D:D, A:A=N16),
   _xlfn._xlws.FILTER(B:B, A:A=N16)
)</f>
        <v>-6179771.9005635008</v>
      </c>
      <c r="S16" s="12" cm="1">
        <f t="array" ref="S16">_xlfn.LET(
  _xlpm.y, _xlfn._xlws.FILTER(D:D, A:A=N16),
  _xlpm.x, _xlfn._xlws.FILTER(B:B, A:A=N16),
  SLOPE(_xlpm.y,_xlpm.x)*2026 + INTERCEPT(_xlpm.y,_xlpm.x)
)</f>
        <v>130258.66166890692</v>
      </c>
      <c r="T16" t="str">
        <f>IF(S16&gt;D511,"mayor a 2023","menor a 2023")</f>
        <v>mayor a 2023</v>
      </c>
      <c r="U16" s="13">
        <f t="shared" si="0"/>
        <v>2.5757964819011332E-2</v>
      </c>
    </row>
    <row r="17" spans="1:21" x14ac:dyDescent="0.35">
      <c r="A17" t="s">
        <v>3</v>
      </c>
      <c r="B17">
        <v>2005</v>
      </c>
      <c r="C17" t="s">
        <v>4</v>
      </c>
      <c r="D17" s="1">
        <v>295109.95363306883</v>
      </c>
      <c r="N17" s="5" t="str">
        <v>Guatemala</v>
      </c>
      <c r="O17" t="s">
        <v>39</v>
      </c>
      <c r="P17" s="11" cm="1">
        <f t="array" ref="P17">SLOPE(
   LN(_xlfn._xlws.FILTER(D:D, (A:A=N17)*(D:D&gt;0)*(B:B&lt;&gt;"")*(D:D&lt;&gt;""))),
   _xlfn._xlws.FILTER(--B:B, (A:A=N17)*(D:D&gt;0)*(B:B&lt;&gt;"")*(D:D&lt;&gt;""))
)</f>
        <v>4.9973251537442892E-2</v>
      </c>
      <c r="Q17" cm="1">
        <f t="array" ref="Q17">INTERCEPT(
   LN(_xlfn._xlws.FILTER(D:D, (A:A=N17)*(D:D&gt;0)*(B:B&lt;&gt;"")*(D:D&lt;&gt;""))),
   _xlfn._xlws.FILTER(--B:B, (A:A=N17)*(D:D&gt;0)*(B:B&lt;&gt;"")*(D:D&lt;&gt;""))
)</f>
        <v>-88.758995148712984</v>
      </c>
      <c r="R17">
        <f t="shared" si="1"/>
        <v>2.8343807360252548E-39</v>
      </c>
      <c r="S17" s="12">
        <f>R17*EXP(P17*2026)</f>
        <v>264821.81064741564</v>
      </c>
      <c r="T17" t="str">
        <f>IF(S17&gt;D545,"mayor a 2023","menor a 2023")</f>
        <v>mayor a 2023</v>
      </c>
      <c r="U17" s="13">
        <f>EXP(P17) - 1</f>
        <v>5.1242976866543666E-2</v>
      </c>
    </row>
    <row r="18" spans="1:21" x14ac:dyDescent="0.35">
      <c r="A18" t="s">
        <v>3</v>
      </c>
      <c r="B18">
        <v>2006</v>
      </c>
      <c r="C18" t="s">
        <v>4</v>
      </c>
      <c r="D18" s="1">
        <v>299109.09663216711</v>
      </c>
      <c r="N18" s="5" t="str">
        <v>Cuba</v>
      </c>
      <c r="O18" t="s">
        <v>40</v>
      </c>
      <c r="P18" s="11" cm="1">
        <f t="array" ref="P18">SLOPE(
   _xlfn._xlws.FILTER(D:D, A:A=N18),
   _xlfn._xlws.FILTER(B:B, A:A=N18)
)</f>
        <v>2331.1250939202851</v>
      </c>
      <c r="Q18" cm="1">
        <f t="array" ref="Q18">INTERCEPT(
   _xlfn._xlws.FILTER(D:D, A:A=N18),
   _xlfn._xlws.FILTER(B:B, A:A=N18)
)</f>
        <v>-4600189.8270949498</v>
      </c>
      <c r="S18" s="12" cm="1">
        <f t="array" ref="S18">_xlfn.LET(
  _xlpm.y, _xlfn._xlws.FILTER(D:D, A:A=N18),
  _xlpm.x, _xlfn._xlws.FILTER(B:B, A:A=N18),
  SLOPE(_xlpm.y,_xlpm.x)*2026 + INTERCEPT(_xlpm.y,_xlpm.x)
)</f>
        <v>122669.61318754777</v>
      </c>
      <c r="T18" t="str">
        <f>IF(S18&gt;D579,"mayor a 2023","menor a 2023")</f>
        <v>mayor a 2023</v>
      </c>
      <c r="U18" s="13">
        <f t="shared" si="0"/>
        <v>2.0152151696175263E-2</v>
      </c>
    </row>
    <row r="19" spans="1:21" x14ac:dyDescent="0.35">
      <c r="A19" t="s">
        <v>3</v>
      </c>
      <c r="B19">
        <v>2007</v>
      </c>
      <c r="C19" t="s">
        <v>4</v>
      </c>
      <c r="D19" s="1">
        <v>319678.05877793935</v>
      </c>
      <c r="N19" s="5" t="str">
        <v>República Dominicana</v>
      </c>
      <c r="O19" t="s">
        <v>41</v>
      </c>
      <c r="P19" s="11" cm="1">
        <f t="array" ref="P19">SLOPE(
   LN(_xlfn._xlws.FILTER(D:D, (A:A=N19)*(D:D&gt;0)*(B:B&lt;&gt;"")*(D:D&lt;&gt;""))),
   _xlfn._xlws.FILTER(--B:B, (A:A=N19)*(D:D&gt;0)*(B:B&lt;&gt;"")*(D:D&lt;&gt;""))
)</f>
        <v>3.8590005989051615E-2</v>
      </c>
      <c r="Q19" cm="1">
        <f t="array" ref="Q19">INTERCEPT(
   LN(_xlfn._xlws.FILTER(D:D, (A:A=N19)*(D:D&gt;0)*(B:B&lt;&gt;"")*(D:D&lt;&gt;""))),
   _xlfn._xlws.FILTER(--B:B, (A:A=N19)*(D:D&gt;0)*(B:B&lt;&gt;"")*(D:D&lt;&gt;""))
)</f>
        <v>-66.454982140146669</v>
      </c>
      <c r="R19">
        <f t="shared" si="1"/>
        <v>1.3771078741835198E-29</v>
      </c>
      <c r="S19" s="12">
        <f>R19*EXP(P19*2026)</f>
        <v>124041.31736854624</v>
      </c>
      <c r="T19" t="str">
        <f>IF(S19&gt;D613,"mayor a 2023","menor a 2023")</f>
        <v>mayor a 2023</v>
      </c>
      <c r="U19" s="13">
        <f>EXP(P19) - 1</f>
        <v>3.9344271357314442E-2</v>
      </c>
    </row>
    <row r="20" spans="1:21" x14ac:dyDescent="0.35">
      <c r="A20" t="s">
        <v>3</v>
      </c>
      <c r="B20">
        <v>2008</v>
      </c>
      <c r="C20" t="s">
        <v>4</v>
      </c>
      <c r="D20" s="1">
        <v>306597.64546390879</v>
      </c>
      <c r="N20" s="6" t="str">
        <v>Honduras</v>
      </c>
      <c r="O20" s="14" t="s">
        <v>42</v>
      </c>
      <c r="P20" s="15" cm="1">
        <f t="array" ref="P20">SLOPE(
   LN(_xlfn._xlws.FILTER(D:D, (A:A=N20)*(D:D&gt;0)*(B:B&lt;&gt;"")*(D:D&lt;&gt;""))),
   _xlfn._xlws.FILTER(--B:B, (A:A=N20)*(D:D&gt;0)*(B:B&lt;&gt;"")*(D:D&lt;&gt;""))
)</f>
        <v>3.7790052317190917E-2</v>
      </c>
      <c r="Q20" s="14" cm="1">
        <f t="array" ref="Q20">INTERCEPT(
   LN(_xlfn._xlws.FILTER(D:D, (A:A=N20)*(D:D&gt;0)*(B:B&lt;&gt;"")*(D:D&lt;&gt;""))),
   _xlfn._xlws.FILTER(--B:B, (A:A=N20)*(D:D&gt;0)*(B:B&lt;&gt;"")*(D:D&lt;&gt;""))
)</f>
        <v>-65.300814662680736</v>
      </c>
      <c r="R20" s="14">
        <f t="shared" si="1"/>
        <v>4.3673352222273058E-29</v>
      </c>
      <c r="S20" s="16">
        <f>R20*EXP(P20*2026)</f>
        <v>77794.913740873715</v>
      </c>
      <c r="T20" s="14" t="str">
        <f>IF(S20&gt;D647,"mayor a 2023","menor a 2023")</f>
        <v>mayor a 2023</v>
      </c>
      <c r="U20" s="17">
        <f>EXP(P20) - 1</f>
        <v>3.8513176554104467E-2</v>
      </c>
    </row>
    <row r="21" spans="1:21" x14ac:dyDescent="0.35">
      <c r="A21" t="s">
        <v>3</v>
      </c>
      <c r="B21">
        <v>2009</v>
      </c>
      <c r="C21" t="s">
        <v>4</v>
      </c>
      <c r="D21" s="1">
        <v>307765.63333693886</v>
      </c>
    </row>
    <row r="22" spans="1:21" x14ac:dyDescent="0.35">
      <c r="A22" t="s">
        <v>3</v>
      </c>
      <c r="B22">
        <v>2010</v>
      </c>
      <c r="C22" t="s">
        <v>4</v>
      </c>
      <c r="D22" s="1">
        <v>320110.42367635644</v>
      </c>
      <c r="T22" s="2" t="s">
        <v>53</v>
      </c>
      <c r="U22" s="3">
        <f>AVERAGE(U2:U20)</f>
        <v>2.9613951290863159E-2</v>
      </c>
    </row>
    <row r="23" spans="1:21" x14ac:dyDescent="0.35">
      <c r="A23" t="s">
        <v>3</v>
      </c>
      <c r="B23">
        <v>2011</v>
      </c>
      <c r="C23" t="s">
        <v>4</v>
      </c>
      <c r="D23" s="1">
        <v>315687.32873516908</v>
      </c>
      <c r="N23" s="4" t="s">
        <v>8</v>
      </c>
      <c r="O23" s="18" cm="1">
        <f t="array" ref="O23:O42">_xlfn.XLOOKUP(N23:N42,_xlfn.ANCHORARRAY(N2),S2:S20)</f>
        <v>1525543.5749411278</v>
      </c>
    </row>
    <row r="24" spans="1:21" x14ac:dyDescent="0.35">
      <c r="A24" t="s">
        <v>3</v>
      </c>
      <c r="B24">
        <v>2012</v>
      </c>
      <c r="C24" t="s">
        <v>4</v>
      </c>
      <c r="D24" s="1">
        <v>314791.59484857513</v>
      </c>
      <c r="N24" s="5" t="s">
        <v>7</v>
      </c>
      <c r="O24" s="19">
        <v>2423673.2136395276</v>
      </c>
      <c r="Q24" t="s">
        <v>51</v>
      </c>
    </row>
    <row r="25" spans="1:21" x14ac:dyDescent="0.35">
      <c r="A25" t="s">
        <v>3</v>
      </c>
      <c r="B25">
        <v>2013</v>
      </c>
      <c r="C25" t="s">
        <v>4</v>
      </c>
      <c r="D25" s="1">
        <v>316227.80717107432</v>
      </c>
      <c r="N25" s="5" t="s">
        <v>11</v>
      </c>
      <c r="O25" s="20">
        <v>312828.59277273715</v>
      </c>
    </row>
    <row r="26" spans="1:21" x14ac:dyDescent="0.35">
      <c r="A26" t="s">
        <v>3</v>
      </c>
      <c r="B26">
        <v>2014</v>
      </c>
      <c r="C26" t="s">
        <v>4</v>
      </c>
      <c r="D26" s="1">
        <v>308509.80744792341</v>
      </c>
      <c r="N26" s="5" t="s">
        <v>3</v>
      </c>
      <c r="O26" s="20">
        <v>360594.90618614387</v>
      </c>
    </row>
    <row r="27" spans="1:21" x14ac:dyDescent="0.35">
      <c r="A27" t="s">
        <v>3</v>
      </c>
      <c r="B27">
        <v>2015</v>
      </c>
      <c r="C27" t="s">
        <v>4</v>
      </c>
      <c r="D27" s="1">
        <v>308159.89210838941</v>
      </c>
      <c r="N27" s="5" t="s">
        <v>6</v>
      </c>
      <c r="O27" s="20">
        <v>220551.17800311829</v>
      </c>
    </row>
    <row r="28" spans="1:21" x14ac:dyDescent="0.35">
      <c r="A28" t="s">
        <v>3</v>
      </c>
      <c r="B28">
        <v>2016</v>
      </c>
      <c r="C28" t="s">
        <v>4</v>
      </c>
      <c r="D28" s="1">
        <v>318009.58579749486</v>
      </c>
      <c r="N28" s="5" t="s">
        <v>12</v>
      </c>
      <c r="O28" s="20">
        <v>538619.56595292222</v>
      </c>
    </row>
    <row r="29" spans="1:21" x14ac:dyDescent="0.35">
      <c r="A29" t="s">
        <v>3</v>
      </c>
      <c r="B29">
        <v>2017</v>
      </c>
      <c r="C29" t="s">
        <v>4</v>
      </c>
      <c r="D29" s="1">
        <v>310241.87688753055</v>
      </c>
      <c r="N29" s="5" t="s">
        <v>15</v>
      </c>
      <c r="O29" s="20">
        <v>114097.95873968536</v>
      </c>
      <c r="Q29" t="s">
        <v>52</v>
      </c>
    </row>
    <row r="30" spans="1:21" x14ac:dyDescent="0.35">
      <c r="A30" t="s">
        <v>3</v>
      </c>
      <c r="B30">
        <v>2018</v>
      </c>
      <c r="C30" t="s">
        <v>4</v>
      </c>
      <c r="D30" s="1">
        <v>312755.69224162668</v>
      </c>
      <c r="N30" s="5" t="s">
        <v>19</v>
      </c>
      <c r="O30" s="20">
        <v>264821.81064741564</v>
      </c>
    </row>
    <row r="31" spans="1:21" x14ac:dyDescent="0.35">
      <c r="A31" t="s">
        <v>3</v>
      </c>
      <c r="B31">
        <v>2019</v>
      </c>
      <c r="C31" t="s">
        <v>4</v>
      </c>
      <c r="D31" s="1">
        <v>315511.76928261796</v>
      </c>
      <c r="N31" s="5" t="s">
        <v>10</v>
      </c>
      <c r="O31" s="20">
        <v>163883.19742375519</v>
      </c>
    </row>
    <row r="32" spans="1:21" x14ac:dyDescent="0.35">
      <c r="A32" t="s">
        <v>3</v>
      </c>
      <c r="B32">
        <v>2020</v>
      </c>
      <c r="C32" t="s">
        <v>4</v>
      </c>
      <c r="D32" s="1">
        <v>307221.89072576165</v>
      </c>
      <c r="N32" s="5" t="s">
        <v>9</v>
      </c>
      <c r="O32" s="20">
        <v>165348.74201956112</v>
      </c>
    </row>
    <row r="33" spans="1:17" x14ac:dyDescent="0.35">
      <c r="A33" t="s">
        <v>3</v>
      </c>
      <c r="B33">
        <v>2021</v>
      </c>
      <c r="C33" t="s">
        <v>4</v>
      </c>
      <c r="D33" s="1">
        <v>337330.52601090295</v>
      </c>
      <c r="N33" s="5" t="s">
        <v>46</v>
      </c>
      <c r="O33" s="20" t="e">
        <v>#N/A</v>
      </c>
      <c r="P33" s="12">
        <f>O34</f>
        <v>122669.61318754777</v>
      </c>
      <c r="Q33" t="s">
        <v>54</v>
      </c>
    </row>
    <row r="34" spans="1:17" x14ac:dyDescent="0.35">
      <c r="A34" t="s">
        <v>3</v>
      </c>
      <c r="B34">
        <v>2022</v>
      </c>
      <c r="C34" t="s">
        <v>4</v>
      </c>
      <c r="D34" s="1">
        <v>380663.26970924472</v>
      </c>
      <c r="N34" s="5" t="s">
        <v>20</v>
      </c>
      <c r="O34" s="20">
        <v>122669.61318754777</v>
      </c>
    </row>
    <row r="35" spans="1:17" x14ac:dyDescent="0.35">
      <c r="A35" t="s">
        <v>3</v>
      </c>
      <c r="B35">
        <v>2023</v>
      </c>
      <c r="C35" t="s">
        <v>4</v>
      </c>
      <c r="D35" s="1">
        <v>364739.19099083386</v>
      </c>
      <c r="N35" s="5" t="s">
        <v>21</v>
      </c>
      <c r="O35" s="20">
        <v>124041.31736854624</v>
      </c>
    </row>
    <row r="36" spans="1:17" x14ac:dyDescent="0.35">
      <c r="A36" t="s">
        <v>5</v>
      </c>
      <c r="B36">
        <v>1990</v>
      </c>
      <c r="C36" t="s">
        <v>4</v>
      </c>
      <c r="D36" s="1">
        <v>819636.33373962669</v>
      </c>
      <c r="N36" s="5" t="s">
        <v>22</v>
      </c>
      <c r="O36" s="20">
        <v>77794.913740873715</v>
      </c>
    </row>
    <row r="37" spans="1:17" x14ac:dyDescent="0.35">
      <c r="A37" t="s">
        <v>5</v>
      </c>
      <c r="B37">
        <v>1991</v>
      </c>
      <c r="C37" t="s">
        <v>4</v>
      </c>
      <c r="D37" s="1">
        <v>839770.86935007153</v>
      </c>
      <c r="N37" s="5" t="s">
        <v>18</v>
      </c>
      <c r="O37" s="20">
        <v>130258.66166890692</v>
      </c>
    </row>
    <row r="38" spans="1:17" x14ac:dyDescent="0.35">
      <c r="A38" t="s">
        <v>5</v>
      </c>
      <c r="B38">
        <v>1992</v>
      </c>
      <c r="C38" t="s">
        <v>4</v>
      </c>
      <c r="D38" s="1">
        <v>863492.45661952207</v>
      </c>
      <c r="N38" s="5" t="s">
        <v>17</v>
      </c>
      <c r="O38" s="20">
        <v>143237.31005015038</v>
      </c>
    </row>
    <row r="39" spans="1:17" x14ac:dyDescent="0.35">
      <c r="A39" t="s">
        <v>5</v>
      </c>
      <c r="B39">
        <v>1993</v>
      </c>
      <c r="C39" t="s">
        <v>4</v>
      </c>
      <c r="D39" s="1">
        <v>899970.55111123482</v>
      </c>
      <c r="N39" s="5" t="s">
        <v>13</v>
      </c>
      <c r="O39" s="20">
        <v>55548.401140821588</v>
      </c>
    </row>
    <row r="40" spans="1:17" x14ac:dyDescent="0.35">
      <c r="A40" t="s">
        <v>5</v>
      </c>
      <c r="B40">
        <v>1994</v>
      </c>
      <c r="C40" t="s">
        <v>4</v>
      </c>
      <c r="D40" s="1">
        <v>913601.39883828699</v>
      </c>
      <c r="N40" s="5" t="s">
        <v>16</v>
      </c>
      <c r="O40" s="20">
        <v>66589.274035383758</v>
      </c>
    </row>
    <row r="41" spans="1:17" x14ac:dyDescent="0.35">
      <c r="A41" t="s">
        <v>5</v>
      </c>
      <c r="B41">
        <v>1995</v>
      </c>
      <c r="C41" t="s">
        <v>4</v>
      </c>
      <c r="D41" s="1">
        <v>939881.84609456034</v>
      </c>
      <c r="N41" s="5" t="s">
        <v>47</v>
      </c>
      <c r="O41" s="20" t="e">
        <v>#N/A</v>
      </c>
      <c r="P41" s="12">
        <f>O40</f>
        <v>66589.274035383758</v>
      </c>
      <c r="Q41" t="s">
        <v>55</v>
      </c>
    </row>
    <row r="42" spans="1:17" x14ac:dyDescent="0.35">
      <c r="A42" t="s">
        <v>5</v>
      </c>
      <c r="B42">
        <v>1996</v>
      </c>
      <c r="C42" t="s">
        <v>4</v>
      </c>
      <c r="D42" s="1">
        <v>962655.79358864203</v>
      </c>
      <c r="N42" s="6" t="s">
        <v>48</v>
      </c>
      <c r="O42" s="21" t="e">
        <v>#N/A</v>
      </c>
      <c r="P42" s="12">
        <f>O40</f>
        <v>66589.274035383758</v>
      </c>
      <c r="Q42" t="s">
        <v>56</v>
      </c>
    </row>
    <row r="43" spans="1:17" x14ac:dyDescent="0.35">
      <c r="A43" t="s">
        <v>5</v>
      </c>
      <c r="B43">
        <v>1997</v>
      </c>
      <c r="C43" t="s">
        <v>4</v>
      </c>
      <c r="D43" s="1">
        <v>994391.89893135976</v>
      </c>
    </row>
    <row r="44" spans="1:17" x14ac:dyDescent="0.35">
      <c r="A44" t="s">
        <v>5</v>
      </c>
      <c r="B44">
        <v>1998</v>
      </c>
      <c r="C44" t="s">
        <v>4</v>
      </c>
      <c r="D44" s="1">
        <v>1046708.5836850635</v>
      </c>
    </row>
    <row r="45" spans="1:17" x14ac:dyDescent="0.35">
      <c r="A45" t="s">
        <v>5</v>
      </c>
      <c r="B45">
        <v>1999</v>
      </c>
      <c r="C45" t="s">
        <v>4</v>
      </c>
      <c r="D45" s="1">
        <v>1163433.2925140951</v>
      </c>
    </row>
    <row r="46" spans="1:17" x14ac:dyDescent="0.35">
      <c r="A46" t="s">
        <v>5</v>
      </c>
      <c r="B46">
        <v>2000</v>
      </c>
      <c r="C46" t="s">
        <v>4</v>
      </c>
      <c r="D46" s="1">
        <v>1275888.614326294</v>
      </c>
    </row>
    <row r="47" spans="1:17" x14ac:dyDescent="0.35">
      <c r="A47" t="s">
        <v>5</v>
      </c>
      <c r="B47">
        <v>2001</v>
      </c>
      <c r="C47" t="s">
        <v>4</v>
      </c>
      <c r="D47" s="1">
        <v>1343707.1705894009</v>
      </c>
    </row>
    <row r="48" spans="1:17" x14ac:dyDescent="0.35">
      <c r="A48" t="s">
        <v>5</v>
      </c>
      <c r="B48">
        <v>2002</v>
      </c>
      <c r="C48" t="s">
        <v>4</v>
      </c>
      <c r="D48" s="1">
        <v>1397873.4199689715</v>
      </c>
    </row>
    <row r="49" spans="1:4" x14ac:dyDescent="0.35">
      <c r="A49" t="s">
        <v>5</v>
      </c>
      <c r="B49">
        <v>2003</v>
      </c>
      <c r="C49" t="s">
        <v>4</v>
      </c>
      <c r="D49" s="1">
        <v>1448462.8939234018</v>
      </c>
    </row>
    <row r="50" spans="1:4" x14ac:dyDescent="0.35">
      <c r="A50" t="s">
        <v>5</v>
      </c>
      <c r="B50">
        <v>2004</v>
      </c>
      <c r="C50" t="s">
        <v>4</v>
      </c>
      <c r="D50" s="1">
        <v>1469914.1735016492</v>
      </c>
    </row>
    <row r="51" spans="1:4" x14ac:dyDescent="0.35">
      <c r="A51" t="s">
        <v>5</v>
      </c>
      <c r="B51">
        <v>2005</v>
      </c>
      <c r="C51" t="s">
        <v>4</v>
      </c>
      <c r="D51" s="1">
        <v>1531607.7248816462</v>
      </c>
    </row>
    <row r="52" spans="1:4" x14ac:dyDescent="0.35">
      <c r="A52" t="s">
        <v>5</v>
      </c>
      <c r="B52">
        <v>2006</v>
      </c>
      <c r="C52" t="s">
        <v>4</v>
      </c>
      <c r="D52" s="1">
        <v>1575542.0376453509</v>
      </c>
    </row>
    <row r="53" spans="1:4" x14ac:dyDescent="0.35">
      <c r="A53" t="s">
        <v>5</v>
      </c>
      <c r="B53">
        <v>2007</v>
      </c>
      <c r="C53" t="s">
        <v>4</v>
      </c>
      <c r="D53" s="1">
        <v>1625339.6924996746</v>
      </c>
    </row>
    <row r="54" spans="1:4" x14ac:dyDescent="0.35">
      <c r="A54" t="s">
        <v>5</v>
      </c>
      <c r="B54">
        <v>2008</v>
      </c>
      <c r="C54" t="s">
        <v>4</v>
      </c>
      <c r="D54" s="1">
        <v>1707921.2345449345</v>
      </c>
    </row>
    <row r="55" spans="1:4" x14ac:dyDescent="0.35">
      <c r="A55" t="s">
        <v>5</v>
      </c>
      <c r="B55">
        <v>2009</v>
      </c>
      <c r="C55" t="s">
        <v>4</v>
      </c>
      <c r="D55" s="1">
        <v>1756869.9140470061</v>
      </c>
    </row>
    <row r="56" spans="1:4" x14ac:dyDescent="0.35">
      <c r="A56" t="s">
        <v>5</v>
      </c>
      <c r="B56">
        <v>2010</v>
      </c>
      <c r="C56" t="s">
        <v>4</v>
      </c>
      <c r="D56" s="1">
        <v>1879021.242744237</v>
      </c>
    </row>
    <row r="57" spans="1:4" x14ac:dyDescent="0.35">
      <c r="A57" t="s">
        <v>5</v>
      </c>
      <c r="B57">
        <v>2011</v>
      </c>
      <c r="C57" t="s">
        <v>4</v>
      </c>
      <c r="D57" s="1">
        <v>2064447.8068340765</v>
      </c>
    </row>
    <row r="58" spans="1:4" x14ac:dyDescent="0.35">
      <c r="A58" t="s">
        <v>5</v>
      </c>
      <c r="B58">
        <v>2012</v>
      </c>
      <c r="C58" t="s">
        <v>4</v>
      </c>
      <c r="D58" s="1">
        <v>2172527.8640942555</v>
      </c>
    </row>
    <row r="59" spans="1:4" x14ac:dyDescent="0.35">
      <c r="A59" t="s">
        <v>5</v>
      </c>
      <c r="B59">
        <v>2013</v>
      </c>
      <c r="C59" t="s">
        <v>4</v>
      </c>
      <c r="D59" s="1">
        <v>2326169.570653466</v>
      </c>
    </row>
    <row r="60" spans="1:4" x14ac:dyDescent="0.35">
      <c r="A60" t="s">
        <v>5</v>
      </c>
      <c r="B60">
        <v>2014</v>
      </c>
      <c r="C60" t="s">
        <v>4</v>
      </c>
      <c r="D60" s="1">
        <v>2421409.1070301849</v>
      </c>
    </row>
    <row r="61" spans="1:4" x14ac:dyDescent="0.35">
      <c r="A61" t="s">
        <v>5</v>
      </c>
      <c r="B61">
        <v>2015</v>
      </c>
      <c r="C61" t="s">
        <v>4</v>
      </c>
      <c r="D61" s="1">
        <v>2560521.1830039858</v>
      </c>
    </row>
    <row r="62" spans="1:4" x14ac:dyDescent="0.35">
      <c r="A62" t="s">
        <v>5</v>
      </c>
      <c r="B62">
        <v>2016</v>
      </c>
      <c r="C62" t="s">
        <v>4</v>
      </c>
      <c r="D62" s="1">
        <v>2657889.9983649817</v>
      </c>
    </row>
    <row r="63" spans="1:4" x14ac:dyDescent="0.35">
      <c r="A63" t="s">
        <v>5</v>
      </c>
      <c r="B63">
        <v>2017</v>
      </c>
      <c r="C63" t="s">
        <v>4</v>
      </c>
      <c r="D63" s="1">
        <v>2779467.6565760379</v>
      </c>
    </row>
    <row r="64" spans="1:4" x14ac:dyDescent="0.35">
      <c r="A64" t="s">
        <v>5</v>
      </c>
      <c r="B64">
        <v>2018</v>
      </c>
      <c r="C64" t="s">
        <v>4</v>
      </c>
      <c r="D64" s="1">
        <v>2865906.261082286</v>
      </c>
    </row>
    <row r="65" spans="1:4" x14ac:dyDescent="0.35">
      <c r="A65" t="s">
        <v>5</v>
      </c>
      <c r="B65">
        <v>2019</v>
      </c>
      <c r="C65" t="s">
        <v>4</v>
      </c>
      <c r="D65" s="1">
        <v>2965898.5762102203</v>
      </c>
    </row>
    <row r="66" spans="1:4" x14ac:dyDescent="0.35">
      <c r="A66" t="s">
        <v>5</v>
      </c>
      <c r="B66">
        <v>2020</v>
      </c>
      <c r="C66" t="s">
        <v>4</v>
      </c>
      <c r="D66" s="1">
        <v>3130724.780634156</v>
      </c>
    </row>
    <row r="67" spans="1:4" x14ac:dyDescent="0.35">
      <c r="A67" t="s">
        <v>5</v>
      </c>
      <c r="B67">
        <v>2021</v>
      </c>
      <c r="C67" t="s">
        <v>4</v>
      </c>
      <c r="D67" s="1">
        <v>3172177.0516759986</v>
      </c>
    </row>
    <row r="68" spans="1:4" x14ac:dyDescent="0.35">
      <c r="A68" t="s">
        <v>5</v>
      </c>
      <c r="B68">
        <v>2022</v>
      </c>
      <c r="C68" t="s">
        <v>4</v>
      </c>
      <c r="D68" s="1">
        <v>3268165.3647545846</v>
      </c>
    </row>
    <row r="69" spans="1:4" x14ac:dyDescent="0.35">
      <c r="A69" t="s">
        <v>5</v>
      </c>
      <c r="B69">
        <v>2023</v>
      </c>
      <c r="C69" t="s">
        <v>4</v>
      </c>
      <c r="D69" s="1">
        <v>3352539.5457390877</v>
      </c>
    </row>
    <row r="70" spans="1:4" x14ac:dyDescent="0.35">
      <c r="A70" t="s">
        <v>6</v>
      </c>
      <c r="B70">
        <v>1990</v>
      </c>
      <c r="C70" t="s">
        <v>4</v>
      </c>
      <c r="D70" s="1">
        <v>84601.067581701704</v>
      </c>
    </row>
    <row r="71" spans="1:4" x14ac:dyDescent="0.35">
      <c r="A71" t="s">
        <v>6</v>
      </c>
      <c r="B71">
        <v>1991</v>
      </c>
      <c r="C71" t="s">
        <v>4</v>
      </c>
      <c r="D71" s="1">
        <v>89308.680626393863</v>
      </c>
    </row>
    <row r="72" spans="1:4" x14ac:dyDescent="0.35">
      <c r="A72" t="s">
        <v>6</v>
      </c>
      <c r="B72">
        <v>1992</v>
      </c>
      <c r="C72" t="s">
        <v>4</v>
      </c>
      <c r="D72" s="1">
        <v>95380.788974714393</v>
      </c>
    </row>
    <row r="73" spans="1:4" x14ac:dyDescent="0.35">
      <c r="A73" t="s">
        <v>6</v>
      </c>
      <c r="B73">
        <v>1993</v>
      </c>
      <c r="C73" t="s">
        <v>4</v>
      </c>
      <c r="D73" s="1">
        <v>102311.19291849702</v>
      </c>
    </row>
    <row r="74" spans="1:4" x14ac:dyDescent="0.35">
      <c r="A74" t="s">
        <v>6</v>
      </c>
      <c r="B74">
        <v>1994</v>
      </c>
      <c r="C74" t="s">
        <v>4</v>
      </c>
      <c r="D74" s="1">
        <v>108684.37903003077</v>
      </c>
    </row>
    <row r="75" spans="1:4" x14ac:dyDescent="0.35">
      <c r="A75" t="s">
        <v>6</v>
      </c>
      <c r="B75">
        <v>1995</v>
      </c>
      <c r="C75" t="s">
        <v>4</v>
      </c>
      <c r="D75" s="1">
        <v>114754.29268008642</v>
      </c>
    </row>
    <row r="76" spans="1:4" x14ac:dyDescent="0.35">
      <c r="A76" t="s">
        <v>6</v>
      </c>
      <c r="B76">
        <v>1996</v>
      </c>
      <c r="C76" t="s">
        <v>4</v>
      </c>
      <c r="D76" s="1">
        <v>120770.49149504026</v>
      </c>
    </row>
    <row r="77" spans="1:4" x14ac:dyDescent="0.35">
      <c r="A77" t="s">
        <v>6</v>
      </c>
      <c r="B77">
        <v>1997</v>
      </c>
      <c r="C77" t="s">
        <v>4</v>
      </c>
      <c r="D77" s="1">
        <v>121734.59027233746</v>
      </c>
    </row>
    <row r="78" spans="1:4" x14ac:dyDescent="0.35">
      <c r="A78" t="s">
        <v>6</v>
      </c>
      <c r="B78">
        <v>1998</v>
      </c>
      <c r="C78" t="s">
        <v>4</v>
      </c>
      <c r="D78" s="1">
        <v>122260.17108689545</v>
      </c>
    </row>
    <row r="79" spans="1:4" x14ac:dyDescent="0.35">
      <c r="A79" t="s">
        <v>6</v>
      </c>
      <c r="B79">
        <v>1999</v>
      </c>
      <c r="C79" t="s">
        <v>4</v>
      </c>
      <c r="D79" s="1">
        <v>122935.73541876732</v>
      </c>
    </row>
    <row r="80" spans="1:4" x14ac:dyDescent="0.35">
      <c r="A80" t="s">
        <v>6</v>
      </c>
      <c r="B80">
        <v>2000</v>
      </c>
      <c r="C80" t="s">
        <v>4</v>
      </c>
      <c r="D80" s="1">
        <v>121609.69843245503</v>
      </c>
    </row>
    <row r="81" spans="1:4" x14ac:dyDescent="0.35">
      <c r="A81" t="s">
        <v>6</v>
      </c>
      <c r="B81">
        <v>2001</v>
      </c>
      <c r="C81" t="s">
        <v>4</v>
      </c>
      <c r="D81" s="1">
        <v>122751.19065623741</v>
      </c>
    </row>
    <row r="82" spans="1:4" x14ac:dyDescent="0.35">
      <c r="A82" t="s">
        <v>6</v>
      </c>
      <c r="B82">
        <v>2002</v>
      </c>
      <c r="C82" t="s">
        <v>4</v>
      </c>
      <c r="D82" s="1">
        <v>126285.59802490796</v>
      </c>
    </row>
    <row r="83" spans="1:4" x14ac:dyDescent="0.35">
      <c r="A83" t="s">
        <v>6</v>
      </c>
      <c r="B83">
        <v>2003</v>
      </c>
      <c r="C83" t="s">
        <v>4</v>
      </c>
      <c r="D83" s="1">
        <v>134095.25853969928</v>
      </c>
    </row>
    <row r="84" spans="1:4" x14ac:dyDescent="0.35">
      <c r="A84" t="s">
        <v>6</v>
      </c>
      <c r="B84">
        <v>2004</v>
      </c>
      <c r="C84" t="s">
        <v>4</v>
      </c>
      <c r="D84" s="1">
        <v>140031.19540215837</v>
      </c>
    </row>
    <row r="85" spans="1:4" x14ac:dyDescent="0.35">
      <c r="A85" t="s">
        <v>6</v>
      </c>
      <c r="B85">
        <v>2005</v>
      </c>
      <c r="C85" t="s">
        <v>4</v>
      </c>
      <c r="D85" s="1">
        <v>139631.43893732218</v>
      </c>
    </row>
    <row r="86" spans="1:4" x14ac:dyDescent="0.35">
      <c r="A86" t="s">
        <v>6</v>
      </c>
      <c r="B86">
        <v>2006</v>
      </c>
      <c r="C86" t="s">
        <v>4</v>
      </c>
      <c r="D86" s="1">
        <v>137697.10858958308</v>
      </c>
    </row>
    <row r="87" spans="1:4" x14ac:dyDescent="0.35">
      <c r="A87" t="s">
        <v>6</v>
      </c>
      <c r="B87">
        <v>2007</v>
      </c>
      <c r="C87" t="s">
        <v>4</v>
      </c>
      <c r="D87" s="1">
        <v>143393.569974577</v>
      </c>
    </row>
    <row r="88" spans="1:4" x14ac:dyDescent="0.35">
      <c r="A88" t="s">
        <v>6</v>
      </c>
      <c r="B88">
        <v>2008</v>
      </c>
      <c r="C88" t="s">
        <v>4</v>
      </c>
      <c r="D88" s="1">
        <v>149746.65641820082</v>
      </c>
    </row>
    <row r="89" spans="1:4" x14ac:dyDescent="0.35">
      <c r="A89" t="s">
        <v>6</v>
      </c>
      <c r="B89">
        <v>2009</v>
      </c>
      <c r="C89" t="s">
        <v>4</v>
      </c>
      <c r="D89" s="1">
        <v>155301.16983968925</v>
      </c>
    </row>
    <row r="90" spans="1:4" x14ac:dyDescent="0.35">
      <c r="A90" t="s">
        <v>6</v>
      </c>
      <c r="B90">
        <v>2010</v>
      </c>
      <c r="C90" t="s">
        <v>4</v>
      </c>
      <c r="D90" s="1">
        <v>160076.81577672774</v>
      </c>
    </row>
    <row r="91" spans="1:4" x14ac:dyDescent="0.35">
      <c r="A91" t="s">
        <v>6</v>
      </c>
      <c r="B91">
        <v>2011</v>
      </c>
      <c r="C91" t="s">
        <v>4</v>
      </c>
      <c r="D91" s="1">
        <v>158628.5839442162</v>
      </c>
    </row>
    <row r="92" spans="1:4" x14ac:dyDescent="0.35">
      <c r="A92" t="s">
        <v>6</v>
      </c>
      <c r="B92">
        <v>2012</v>
      </c>
      <c r="C92" t="s">
        <v>4</v>
      </c>
      <c r="D92" s="1">
        <v>156470.6706134686</v>
      </c>
    </row>
    <row r="93" spans="1:4" x14ac:dyDescent="0.35">
      <c r="A93" t="s">
        <v>6</v>
      </c>
      <c r="B93">
        <v>2013</v>
      </c>
      <c r="C93" t="s">
        <v>4</v>
      </c>
      <c r="D93" s="1">
        <v>152646.62876578595</v>
      </c>
    </row>
    <row r="94" spans="1:4" x14ac:dyDescent="0.35">
      <c r="A94" t="s">
        <v>6</v>
      </c>
      <c r="B94">
        <v>2014</v>
      </c>
      <c r="C94" t="s">
        <v>4</v>
      </c>
      <c r="D94" s="1">
        <v>148342.10257806056</v>
      </c>
    </row>
    <row r="95" spans="1:4" x14ac:dyDescent="0.35">
      <c r="A95" t="s">
        <v>6</v>
      </c>
      <c r="B95">
        <v>2015</v>
      </c>
      <c r="C95" t="s">
        <v>4</v>
      </c>
      <c r="D95" s="1">
        <v>145477.85983717188</v>
      </c>
    </row>
    <row r="96" spans="1:4" x14ac:dyDescent="0.35">
      <c r="A96" t="s">
        <v>6</v>
      </c>
      <c r="B96">
        <v>2016</v>
      </c>
      <c r="C96" t="s">
        <v>4</v>
      </c>
      <c r="D96" s="1">
        <v>150756.83430326681</v>
      </c>
    </row>
    <row r="97" spans="1:4" x14ac:dyDescent="0.35">
      <c r="A97" t="s">
        <v>6</v>
      </c>
      <c r="B97">
        <v>2017</v>
      </c>
      <c r="C97" t="s">
        <v>4</v>
      </c>
      <c r="D97" s="1">
        <v>166821.6664376093</v>
      </c>
    </row>
    <row r="98" spans="1:4" x14ac:dyDescent="0.35">
      <c r="A98" t="s">
        <v>6</v>
      </c>
      <c r="B98">
        <v>2018</v>
      </c>
      <c r="C98" t="s">
        <v>4</v>
      </c>
      <c r="D98" s="1">
        <v>176645.65717779979</v>
      </c>
    </row>
    <row r="99" spans="1:4" x14ac:dyDescent="0.35">
      <c r="A99" t="s">
        <v>6</v>
      </c>
      <c r="B99">
        <v>2019</v>
      </c>
      <c r="C99" t="s">
        <v>4</v>
      </c>
      <c r="D99" s="1">
        <v>185528.64826033174</v>
      </c>
    </row>
    <row r="100" spans="1:4" x14ac:dyDescent="0.35">
      <c r="A100" t="s">
        <v>6</v>
      </c>
      <c r="B100">
        <v>2020</v>
      </c>
      <c r="C100" t="s">
        <v>4</v>
      </c>
      <c r="D100" s="1">
        <v>190883.45251400399</v>
      </c>
    </row>
    <row r="101" spans="1:4" x14ac:dyDescent="0.35">
      <c r="A101" t="s">
        <v>6</v>
      </c>
      <c r="B101">
        <v>2021</v>
      </c>
      <c r="C101" t="s">
        <v>4</v>
      </c>
      <c r="D101" s="1">
        <v>225806.49075067625</v>
      </c>
    </row>
    <row r="102" spans="1:4" x14ac:dyDescent="0.35">
      <c r="A102" t="s">
        <v>6</v>
      </c>
      <c r="B102">
        <v>2022</v>
      </c>
      <c r="C102" t="s">
        <v>4</v>
      </c>
      <c r="D102" s="1">
        <v>216169.34716959918</v>
      </c>
    </row>
    <row r="103" spans="1:4" x14ac:dyDescent="0.35">
      <c r="A103" t="s">
        <v>6</v>
      </c>
      <c r="B103">
        <v>2023</v>
      </c>
      <c r="C103" t="s">
        <v>4</v>
      </c>
      <c r="D103" s="1">
        <v>226590.15881758335</v>
      </c>
    </row>
    <row r="104" spans="1:4" x14ac:dyDescent="0.35">
      <c r="A104" t="s">
        <v>7</v>
      </c>
      <c r="B104">
        <v>1990</v>
      </c>
      <c r="C104" t="s">
        <v>4</v>
      </c>
      <c r="D104" s="1">
        <v>499408.72490497917</v>
      </c>
    </row>
    <row r="105" spans="1:4" x14ac:dyDescent="0.35">
      <c r="A105" t="s">
        <v>7</v>
      </c>
      <c r="B105">
        <v>1991</v>
      </c>
      <c r="C105" t="s">
        <v>4</v>
      </c>
      <c r="D105" s="1">
        <v>524636.92061153136</v>
      </c>
    </row>
    <row r="106" spans="1:4" x14ac:dyDescent="0.35">
      <c r="A106" t="s">
        <v>7</v>
      </c>
      <c r="B106">
        <v>1992</v>
      </c>
      <c r="C106" t="s">
        <v>4</v>
      </c>
      <c r="D106" s="1">
        <v>543412.83843085053</v>
      </c>
    </row>
    <row r="107" spans="1:4" x14ac:dyDescent="0.35">
      <c r="A107" t="s">
        <v>7</v>
      </c>
      <c r="B107">
        <v>1993</v>
      </c>
      <c r="C107" t="s">
        <v>4</v>
      </c>
      <c r="D107" s="1">
        <v>565212.26281003084</v>
      </c>
    </row>
    <row r="108" spans="1:4" x14ac:dyDescent="0.35">
      <c r="A108" t="s">
        <v>7</v>
      </c>
      <c r="B108">
        <v>1994</v>
      </c>
      <c r="C108" t="s">
        <v>4</v>
      </c>
      <c r="D108" s="1">
        <v>582467.78884494782</v>
      </c>
    </row>
    <row r="109" spans="1:4" x14ac:dyDescent="0.35">
      <c r="A109" t="s">
        <v>7</v>
      </c>
      <c r="B109">
        <v>1995</v>
      </c>
      <c r="C109" t="s">
        <v>4</v>
      </c>
      <c r="D109" s="1">
        <v>607538.40085502248</v>
      </c>
    </row>
    <row r="110" spans="1:4" x14ac:dyDescent="0.35">
      <c r="A110" t="s">
        <v>7</v>
      </c>
      <c r="B110">
        <v>1996</v>
      </c>
      <c r="C110" t="s">
        <v>4</v>
      </c>
      <c r="D110" s="1">
        <v>633883.69757800188</v>
      </c>
    </row>
    <row r="111" spans="1:4" x14ac:dyDescent="0.35">
      <c r="A111" t="s">
        <v>7</v>
      </c>
      <c r="B111">
        <v>1997</v>
      </c>
      <c r="C111" t="s">
        <v>4</v>
      </c>
      <c r="D111" s="1">
        <v>682504.17639366351</v>
      </c>
    </row>
    <row r="112" spans="1:4" x14ac:dyDescent="0.35">
      <c r="A112" t="s">
        <v>7</v>
      </c>
      <c r="B112">
        <v>1998</v>
      </c>
      <c r="C112" t="s">
        <v>4</v>
      </c>
      <c r="D112" s="1">
        <v>843712.7640819751</v>
      </c>
    </row>
    <row r="113" spans="1:4" x14ac:dyDescent="0.35">
      <c r="A113" t="s">
        <v>7</v>
      </c>
      <c r="B113">
        <v>1999</v>
      </c>
      <c r="C113" t="s">
        <v>4</v>
      </c>
      <c r="D113" s="1">
        <v>934284.72556972224</v>
      </c>
    </row>
    <row r="114" spans="1:4" x14ac:dyDescent="0.35">
      <c r="A114" t="s">
        <v>7</v>
      </c>
      <c r="B114">
        <v>2000</v>
      </c>
      <c r="C114" t="s">
        <v>4</v>
      </c>
      <c r="D114" s="1">
        <v>1030379.6660896885</v>
      </c>
    </row>
    <row r="115" spans="1:4" x14ac:dyDescent="0.35">
      <c r="A115" t="s">
        <v>7</v>
      </c>
      <c r="B115">
        <v>2001</v>
      </c>
      <c r="C115" t="s">
        <v>4</v>
      </c>
      <c r="D115" s="1">
        <v>1094212.9221140209</v>
      </c>
    </row>
    <row r="116" spans="1:4" x14ac:dyDescent="0.35">
      <c r="A116" t="s">
        <v>7</v>
      </c>
      <c r="B116">
        <v>2002</v>
      </c>
      <c r="C116" t="s">
        <v>4</v>
      </c>
      <c r="D116" s="1">
        <v>1136993.6463253924</v>
      </c>
    </row>
    <row r="117" spans="1:4" x14ac:dyDescent="0.35">
      <c r="A117" t="s">
        <v>7</v>
      </c>
      <c r="B117">
        <v>2003</v>
      </c>
      <c r="C117" t="s">
        <v>4</v>
      </c>
      <c r="D117" s="1">
        <v>1197034.4208367723</v>
      </c>
    </row>
    <row r="118" spans="1:4" x14ac:dyDescent="0.35">
      <c r="A118" t="s">
        <v>7</v>
      </c>
      <c r="B118">
        <v>2004</v>
      </c>
      <c r="C118" t="s">
        <v>4</v>
      </c>
      <c r="D118" s="1">
        <v>1253567.690163281</v>
      </c>
    </row>
    <row r="119" spans="1:4" x14ac:dyDescent="0.35">
      <c r="A119" t="s">
        <v>7</v>
      </c>
      <c r="B119">
        <v>2005</v>
      </c>
      <c r="C119" t="s">
        <v>4</v>
      </c>
      <c r="D119" s="1">
        <v>1314141.4637165093</v>
      </c>
    </row>
    <row r="120" spans="1:4" x14ac:dyDescent="0.35">
      <c r="A120" t="s">
        <v>7</v>
      </c>
      <c r="B120">
        <v>2006</v>
      </c>
      <c r="C120" t="s">
        <v>4</v>
      </c>
      <c r="D120" s="1">
        <v>1425434.2808100395</v>
      </c>
    </row>
    <row r="121" spans="1:4" x14ac:dyDescent="0.35">
      <c r="A121" t="s">
        <v>7</v>
      </c>
      <c r="B121">
        <v>2007</v>
      </c>
      <c r="C121" t="s">
        <v>4</v>
      </c>
      <c r="D121" s="1">
        <v>1570801.2954079239</v>
      </c>
    </row>
    <row r="122" spans="1:4" x14ac:dyDescent="0.35">
      <c r="A122" t="s">
        <v>7</v>
      </c>
      <c r="B122">
        <v>2008</v>
      </c>
      <c r="C122" t="s">
        <v>4</v>
      </c>
      <c r="D122" s="1">
        <v>1682183.6290442073</v>
      </c>
    </row>
    <row r="123" spans="1:4" x14ac:dyDescent="0.35">
      <c r="A123" t="s">
        <v>7</v>
      </c>
      <c r="B123">
        <v>2009</v>
      </c>
      <c r="C123" t="s">
        <v>4</v>
      </c>
      <c r="D123" s="1">
        <v>1681375.0033700955</v>
      </c>
    </row>
    <row r="124" spans="1:4" x14ac:dyDescent="0.35">
      <c r="A124" t="s">
        <v>7</v>
      </c>
      <c r="B124">
        <v>2010</v>
      </c>
      <c r="C124" t="s">
        <v>4</v>
      </c>
      <c r="D124" s="1">
        <v>1762830.7384133188</v>
      </c>
    </row>
    <row r="125" spans="1:4" x14ac:dyDescent="0.35">
      <c r="A125" t="s">
        <v>7</v>
      </c>
      <c r="B125">
        <v>2011</v>
      </c>
      <c r="C125" t="s">
        <v>4</v>
      </c>
      <c r="D125" s="1">
        <v>1779961.2501542736</v>
      </c>
    </row>
    <row r="126" spans="1:4" x14ac:dyDescent="0.35">
      <c r="A126" t="s">
        <v>7</v>
      </c>
      <c r="B126">
        <v>2012</v>
      </c>
      <c r="C126" t="s">
        <v>4</v>
      </c>
      <c r="D126" s="1">
        <v>1824955.906802142</v>
      </c>
    </row>
    <row r="127" spans="1:4" x14ac:dyDescent="0.35">
      <c r="A127" t="s">
        <v>7</v>
      </c>
      <c r="B127">
        <v>2013</v>
      </c>
      <c r="C127" t="s">
        <v>4</v>
      </c>
      <c r="D127" s="1">
        <v>1840090.1457446425</v>
      </c>
    </row>
    <row r="128" spans="1:4" x14ac:dyDescent="0.35">
      <c r="A128" t="s">
        <v>7</v>
      </c>
      <c r="B128">
        <v>2014</v>
      </c>
      <c r="C128" t="s">
        <v>4</v>
      </c>
      <c r="D128" s="1">
        <v>1842587.3354697963</v>
      </c>
    </row>
    <row r="129" spans="1:4" x14ac:dyDescent="0.35">
      <c r="A129" t="s">
        <v>7</v>
      </c>
      <c r="B129">
        <v>2015</v>
      </c>
      <c r="C129" t="s">
        <v>4</v>
      </c>
      <c r="D129" s="1">
        <v>1953202.3642454275</v>
      </c>
    </row>
    <row r="130" spans="1:4" x14ac:dyDescent="0.35">
      <c r="A130" t="s">
        <v>7</v>
      </c>
      <c r="B130">
        <v>2016</v>
      </c>
      <c r="C130" t="s">
        <v>4</v>
      </c>
      <c r="D130" s="1">
        <v>2024239.3834688405</v>
      </c>
    </row>
    <row r="131" spans="1:4" x14ac:dyDescent="0.35">
      <c r="A131" t="s">
        <v>7</v>
      </c>
      <c r="B131">
        <v>2017</v>
      </c>
      <c r="C131" t="s">
        <v>4</v>
      </c>
      <c r="D131" s="1">
        <v>2031606.5122121151</v>
      </c>
    </row>
    <row r="132" spans="1:4" x14ac:dyDescent="0.35">
      <c r="A132" t="s">
        <v>7</v>
      </c>
      <c r="B132">
        <v>2018</v>
      </c>
      <c r="C132" t="s">
        <v>4</v>
      </c>
      <c r="D132" s="1">
        <v>1917747.8585441699</v>
      </c>
    </row>
    <row r="133" spans="1:4" x14ac:dyDescent="0.35">
      <c r="A133" t="s">
        <v>7</v>
      </c>
      <c r="B133">
        <v>2019</v>
      </c>
      <c r="C133" t="s">
        <v>4</v>
      </c>
      <c r="D133" s="1">
        <v>1941052.6779159694</v>
      </c>
    </row>
    <row r="134" spans="1:4" x14ac:dyDescent="0.35">
      <c r="A134" t="s">
        <v>7</v>
      </c>
      <c r="B134">
        <v>2020</v>
      </c>
      <c r="C134" t="s">
        <v>4</v>
      </c>
      <c r="D134" s="1">
        <v>1993480.3429565714</v>
      </c>
    </row>
    <row r="135" spans="1:4" x14ac:dyDescent="0.35">
      <c r="A135" t="s">
        <v>7</v>
      </c>
      <c r="B135">
        <v>2021</v>
      </c>
      <c r="C135" t="s">
        <v>4</v>
      </c>
      <c r="D135" s="1">
        <v>2028264.58589256</v>
      </c>
    </row>
    <row r="136" spans="1:4" x14ac:dyDescent="0.35">
      <c r="A136" t="s">
        <v>7</v>
      </c>
      <c r="B136">
        <v>2022</v>
      </c>
      <c r="C136" t="s">
        <v>4</v>
      </c>
      <c r="D136" s="1">
        <v>1893005.2583444915</v>
      </c>
    </row>
    <row r="137" spans="1:4" x14ac:dyDescent="0.35">
      <c r="A137" t="s">
        <v>7</v>
      </c>
      <c r="B137">
        <v>2023</v>
      </c>
      <c r="C137" t="s">
        <v>4</v>
      </c>
      <c r="D137" s="1">
        <v>1916204.0331091201</v>
      </c>
    </row>
    <row r="138" spans="1:4" x14ac:dyDescent="0.35">
      <c r="A138" t="s">
        <v>8</v>
      </c>
      <c r="B138">
        <v>1990</v>
      </c>
      <c r="C138" t="s">
        <v>4</v>
      </c>
      <c r="D138" s="1">
        <v>570100.41674364393</v>
      </c>
    </row>
    <row r="139" spans="1:4" x14ac:dyDescent="0.35">
      <c r="A139" t="s">
        <v>8</v>
      </c>
      <c r="B139">
        <v>1991</v>
      </c>
      <c r="C139" t="s">
        <v>4</v>
      </c>
      <c r="D139" s="1">
        <v>563595.67084967729</v>
      </c>
    </row>
    <row r="140" spans="1:4" x14ac:dyDescent="0.35">
      <c r="A140" t="s">
        <v>8</v>
      </c>
      <c r="B140">
        <v>1992</v>
      </c>
      <c r="C140" t="s">
        <v>4</v>
      </c>
      <c r="D140" s="1">
        <v>583476.40312332683</v>
      </c>
    </row>
    <row r="141" spans="1:4" x14ac:dyDescent="0.35">
      <c r="A141" t="s">
        <v>8</v>
      </c>
      <c r="B141">
        <v>1993</v>
      </c>
      <c r="C141" t="s">
        <v>4</v>
      </c>
      <c r="D141" s="1">
        <v>610969.55450601643</v>
      </c>
    </row>
    <row r="142" spans="1:4" x14ac:dyDescent="0.35">
      <c r="A142" t="s">
        <v>8</v>
      </c>
      <c r="B142">
        <v>1994</v>
      </c>
      <c r="C142" t="s">
        <v>4</v>
      </c>
      <c r="D142" s="1">
        <v>624399.3588376838</v>
      </c>
    </row>
    <row r="143" spans="1:4" x14ac:dyDescent="0.35">
      <c r="A143" t="s">
        <v>8</v>
      </c>
      <c r="B143">
        <v>1995</v>
      </c>
      <c r="C143" t="s">
        <v>4</v>
      </c>
      <c r="D143" s="1">
        <v>637529.60580017616</v>
      </c>
    </row>
    <row r="144" spans="1:4" x14ac:dyDescent="0.35">
      <c r="A144" t="s">
        <v>8</v>
      </c>
      <c r="B144">
        <v>1996</v>
      </c>
      <c r="C144" t="s">
        <v>4</v>
      </c>
      <c r="D144" s="1">
        <v>691231.19548664358</v>
      </c>
    </row>
    <row r="145" spans="1:4" x14ac:dyDescent="0.35">
      <c r="A145" t="s">
        <v>8</v>
      </c>
      <c r="B145">
        <v>1997</v>
      </c>
      <c r="C145" t="s">
        <v>4</v>
      </c>
      <c r="D145" s="1">
        <v>727837.01731432928</v>
      </c>
    </row>
    <row r="146" spans="1:4" x14ac:dyDescent="0.35">
      <c r="A146" t="s">
        <v>8</v>
      </c>
      <c r="B146">
        <v>1998</v>
      </c>
      <c r="C146" t="s">
        <v>4</v>
      </c>
      <c r="D146" s="1">
        <v>765258.19023128564</v>
      </c>
    </row>
    <row r="147" spans="1:4" x14ac:dyDescent="0.35">
      <c r="A147" t="s">
        <v>8</v>
      </c>
      <c r="B147">
        <v>1999</v>
      </c>
      <c r="C147" t="s">
        <v>4</v>
      </c>
      <c r="D147" s="1">
        <v>799188.1816059408</v>
      </c>
    </row>
    <row r="148" spans="1:4" x14ac:dyDescent="0.35">
      <c r="A148" t="s">
        <v>8</v>
      </c>
      <c r="B148">
        <v>2000</v>
      </c>
      <c r="C148" t="s">
        <v>4</v>
      </c>
      <c r="D148" s="1">
        <v>826852.95378470153</v>
      </c>
    </row>
    <row r="149" spans="1:4" x14ac:dyDescent="0.35">
      <c r="A149" t="s">
        <v>8</v>
      </c>
      <c r="B149">
        <v>2001</v>
      </c>
      <c r="C149" t="s">
        <v>4</v>
      </c>
      <c r="D149" s="1">
        <v>844800.22388525913</v>
      </c>
    </row>
    <row r="150" spans="1:4" x14ac:dyDescent="0.35">
      <c r="A150" t="s">
        <v>8</v>
      </c>
      <c r="B150">
        <v>2002</v>
      </c>
      <c r="C150" t="s">
        <v>4</v>
      </c>
      <c r="D150" s="1">
        <v>857559.96646265511</v>
      </c>
    </row>
    <row r="151" spans="1:4" x14ac:dyDescent="0.35">
      <c r="A151" t="s">
        <v>8</v>
      </c>
      <c r="B151">
        <v>2003</v>
      </c>
      <c r="C151" t="s">
        <v>4</v>
      </c>
      <c r="D151" s="1">
        <v>876003.58380812663</v>
      </c>
    </row>
    <row r="152" spans="1:4" x14ac:dyDescent="0.35">
      <c r="A152" t="s">
        <v>8</v>
      </c>
      <c r="B152">
        <v>2004</v>
      </c>
      <c r="C152" t="s">
        <v>4</v>
      </c>
      <c r="D152" s="1">
        <v>890781.85892496863</v>
      </c>
    </row>
    <row r="153" spans="1:4" x14ac:dyDescent="0.35">
      <c r="A153" t="s">
        <v>8</v>
      </c>
      <c r="B153">
        <v>2005</v>
      </c>
      <c r="C153" t="s">
        <v>4</v>
      </c>
      <c r="D153" s="1">
        <v>881340.6829815032</v>
      </c>
    </row>
    <row r="154" spans="1:4" x14ac:dyDescent="0.35">
      <c r="A154" t="s">
        <v>8</v>
      </c>
      <c r="B154">
        <v>2006</v>
      </c>
      <c r="C154" t="s">
        <v>4</v>
      </c>
      <c r="D154" s="1">
        <v>883083.47818965255</v>
      </c>
    </row>
    <row r="155" spans="1:4" x14ac:dyDescent="0.35">
      <c r="A155" t="s">
        <v>8</v>
      </c>
      <c r="B155">
        <v>2007</v>
      </c>
      <c r="C155" t="s">
        <v>4</v>
      </c>
      <c r="D155" s="1">
        <v>903484.57990933233</v>
      </c>
    </row>
    <row r="156" spans="1:4" x14ac:dyDescent="0.35">
      <c r="A156" t="s">
        <v>8</v>
      </c>
      <c r="B156">
        <v>2008</v>
      </c>
      <c r="C156" t="s">
        <v>4</v>
      </c>
      <c r="D156" s="1">
        <v>930741.65544038732</v>
      </c>
    </row>
    <row r="157" spans="1:4" x14ac:dyDescent="0.35">
      <c r="A157" t="s">
        <v>8</v>
      </c>
      <c r="B157">
        <v>2009</v>
      </c>
      <c r="C157" t="s">
        <v>4</v>
      </c>
      <c r="D157" s="1">
        <v>964434.1762535976</v>
      </c>
    </row>
    <row r="158" spans="1:4" x14ac:dyDescent="0.35">
      <c r="A158" t="s">
        <v>8</v>
      </c>
      <c r="B158">
        <v>2010</v>
      </c>
      <c r="C158" t="s">
        <v>4</v>
      </c>
      <c r="D158" s="1">
        <v>1004433.0729397754</v>
      </c>
    </row>
    <row r="159" spans="1:4" x14ac:dyDescent="0.35">
      <c r="A159" t="s">
        <v>8</v>
      </c>
      <c r="B159">
        <v>2011</v>
      </c>
      <c r="C159" t="s">
        <v>4</v>
      </c>
      <c r="D159" s="1">
        <v>1036234.644285287</v>
      </c>
    </row>
    <row r="160" spans="1:4" x14ac:dyDescent="0.35">
      <c r="A160" t="s">
        <v>8</v>
      </c>
      <c r="B160">
        <v>2012</v>
      </c>
      <c r="C160" t="s">
        <v>4</v>
      </c>
      <c r="D160" s="1">
        <v>1035209.7519450426</v>
      </c>
    </row>
    <row r="161" spans="1:4" x14ac:dyDescent="0.35">
      <c r="A161" t="s">
        <v>8</v>
      </c>
      <c r="B161">
        <v>2013</v>
      </c>
      <c r="C161" t="s">
        <v>4</v>
      </c>
      <c r="D161" s="1">
        <v>1059817.0052174646</v>
      </c>
    </row>
    <row r="162" spans="1:4" x14ac:dyDescent="0.35">
      <c r="A162" t="s">
        <v>8</v>
      </c>
      <c r="B162">
        <v>2014</v>
      </c>
      <c r="C162" t="s">
        <v>4</v>
      </c>
      <c r="D162" s="1">
        <v>1076715.4518856585</v>
      </c>
    </row>
    <row r="163" spans="1:4" x14ac:dyDescent="0.35">
      <c r="A163" t="s">
        <v>8</v>
      </c>
      <c r="B163">
        <v>2015</v>
      </c>
      <c r="C163" t="s">
        <v>4</v>
      </c>
      <c r="D163" s="1">
        <v>1121526.4120261644</v>
      </c>
    </row>
    <row r="164" spans="1:4" x14ac:dyDescent="0.35">
      <c r="A164" t="s">
        <v>8</v>
      </c>
      <c r="B164">
        <v>2016</v>
      </c>
      <c r="C164" t="s">
        <v>4</v>
      </c>
      <c r="D164" s="1">
        <v>1169593.4108406715</v>
      </c>
    </row>
    <row r="165" spans="1:4" x14ac:dyDescent="0.35">
      <c r="A165" t="s">
        <v>8</v>
      </c>
      <c r="B165">
        <v>2017</v>
      </c>
      <c r="C165" t="s">
        <v>4</v>
      </c>
      <c r="D165" s="1">
        <v>1195827.7241361924</v>
      </c>
    </row>
    <row r="166" spans="1:4" x14ac:dyDescent="0.35">
      <c r="A166" t="s">
        <v>8</v>
      </c>
      <c r="B166">
        <v>2018</v>
      </c>
      <c r="C166" t="s">
        <v>4</v>
      </c>
      <c r="D166" s="1">
        <v>1222389.2066799824</v>
      </c>
    </row>
    <row r="167" spans="1:4" x14ac:dyDescent="0.35">
      <c r="A167" t="s">
        <v>8</v>
      </c>
      <c r="B167">
        <v>2019</v>
      </c>
      <c r="C167" t="s">
        <v>4</v>
      </c>
      <c r="D167" s="1">
        <v>1259715.8603183886</v>
      </c>
    </row>
    <row r="168" spans="1:4" x14ac:dyDescent="0.35">
      <c r="A168" t="s">
        <v>8</v>
      </c>
      <c r="B168">
        <v>2020</v>
      </c>
      <c r="C168" t="s">
        <v>4</v>
      </c>
      <c r="D168" s="1">
        <v>1289539.0365636023</v>
      </c>
    </row>
    <row r="169" spans="1:4" x14ac:dyDescent="0.35">
      <c r="A169" t="s">
        <v>8</v>
      </c>
      <c r="B169">
        <v>2021</v>
      </c>
      <c r="C169" t="s">
        <v>4</v>
      </c>
      <c r="D169" s="1">
        <v>1329853.7609914157</v>
      </c>
    </row>
    <row r="170" spans="1:4" x14ac:dyDescent="0.35">
      <c r="A170" t="s">
        <v>8</v>
      </c>
      <c r="B170">
        <v>2022</v>
      </c>
      <c r="C170" t="s">
        <v>4</v>
      </c>
      <c r="D170" s="1">
        <v>1373717.6327319425</v>
      </c>
    </row>
    <row r="171" spans="1:4" x14ac:dyDescent="0.35">
      <c r="A171" t="s">
        <v>8</v>
      </c>
      <c r="B171">
        <v>2023</v>
      </c>
      <c r="C171" t="s">
        <v>4</v>
      </c>
      <c r="D171" s="1">
        <v>1379151.8692361135</v>
      </c>
    </row>
    <row r="172" spans="1:4" x14ac:dyDescent="0.35">
      <c r="A172" t="s">
        <v>9</v>
      </c>
      <c r="B172">
        <v>1990</v>
      </c>
      <c r="C172" t="s">
        <v>4</v>
      </c>
      <c r="D172" s="1">
        <v>44214.992205008348</v>
      </c>
    </row>
    <row r="173" spans="1:4" x14ac:dyDescent="0.35">
      <c r="A173" t="s">
        <v>9</v>
      </c>
      <c r="B173">
        <v>1991</v>
      </c>
      <c r="C173" t="s">
        <v>4</v>
      </c>
      <c r="D173" s="1">
        <v>46312.764971813667</v>
      </c>
    </row>
    <row r="174" spans="1:4" x14ac:dyDescent="0.35">
      <c r="A174" t="s">
        <v>9</v>
      </c>
      <c r="B174">
        <v>1992</v>
      </c>
      <c r="C174" t="s">
        <v>4</v>
      </c>
      <c r="D174" s="1">
        <v>48436.716582417568</v>
      </c>
    </row>
    <row r="175" spans="1:4" x14ac:dyDescent="0.35">
      <c r="A175" t="s">
        <v>9</v>
      </c>
      <c r="B175">
        <v>1993</v>
      </c>
      <c r="C175" t="s">
        <v>4</v>
      </c>
      <c r="D175" s="1">
        <v>50483.505799869628</v>
      </c>
    </row>
    <row r="176" spans="1:4" x14ac:dyDescent="0.35">
      <c r="A176" t="s">
        <v>9</v>
      </c>
      <c r="B176">
        <v>1994</v>
      </c>
      <c r="C176" t="s">
        <v>4</v>
      </c>
      <c r="D176" s="1">
        <v>52595.47689527936</v>
      </c>
    </row>
    <row r="177" spans="1:4" x14ac:dyDescent="0.35">
      <c r="A177" t="s">
        <v>9</v>
      </c>
      <c r="B177">
        <v>1995</v>
      </c>
      <c r="C177" t="s">
        <v>4</v>
      </c>
      <c r="D177" s="1">
        <v>54966.97711350317</v>
      </c>
    </row>
    <row r="178" spans="1:4" x14ac:dyDescent="0.35">
      <c r="A178" t="s">
        <v>9</v>
      </c>
      <c r="B178">
        <v>1996</v>
      </c>
      <c r="C178" t="s">
        <v>4</v>
      </c>
      <c r="D178" s="1">
        <v>57757.270230258633</v>
      </c>
    </row>
    <row r="179" spans="1:4" x14ac:dyDescent="0.35">
      <c r="A179" t="s">
        <v>9</v>
      </c>
      <c r="B179">
        <v>1997</v>
      </c>
      <c r="C179" t="s">
        <v>4</v>
      </c>
      <c r="D179" s="1">
        <v>60082.928136335096</v>
      </c>
    </row>
    <row r="180" spans="1:4" x14ac:dyDescent="0.35">
      <c r="A180" t="s">
        <v>9</v>
      </c>
      <c r="B180">
        <v>1998</v>
      </c>
      <c r="C180" t="s">
        <v>4</v>
      </c>
      <c r="D180" s="1">
        <v>63080.680831039979</v>
      </c>
    </row>
    <row r="181" spans="1:4" x14ac:dyDescent="0.35">
      <c r="A181" t="s">
        <v>9</v>
      </c>
      <c r="B181">
        <v>1999</v>
      </c>
      <c r="C181" t="s">
        <v>4</v>
      </c>
      <c r="D181" s="1">
        <v>66254.519065477478</v>
      </c>
    </row>
    <row r="182" spans="1:4" x14ac:dyDescent="0.35">
      <c r="A182" t="s">
        <v>9</v>
      </c>
      <c r="B182">
        <v>2000</v>
      </c>
      <c r="C182" t="s">
        <v>4</v>
      </c>
      <c r="D182" s="1">
        <v>69665.572885544912</v>
      </c>
    </row>
    <row r="183" spans="1:4" x14ac:dyDescent="0.35">
      <c r="A183" t="s">
        <v>9</v>
      </c>
      <c r="B183">
        <v>2001</v>
      </c>
      <c r="C183" t="s">
        <v>4</v>
      </c>
      <c r="D183" s="1">
        <v>73615.887889405611</v>
      </c>
    </row>
    <row r="184" spans="1:4" x14ac:dyDescent="0.35">
      <c r="A184" t="s">
        <v>9</v>
      </c>
      <c r="B184">
        <v>2002</v>
      </c>
      <c r="C184" t="s">
        <v>4</v>
      </c>
      <c r="D184" s="1">
        <v>77249.639153975295</v>
      </c>
    </row>
    <row r="185" spans="1:4" x14ac:dyDescent="0.35">
      <c r="A185" t="s">
        <v>9</v>
      </c>
      <c r="B185">
        <v>2003</v>
      </c>
      <c r="C185" t="s">
        <v>4</v>
      </c>
      <c r="D185" s="1">
        <v>80586.136952271161</v>
      </c>
    </row>
    <row r="186" spans="1:4" x14ac:dyDescent="0.35">
      <c r="A186" t="s">
        <v>9</v>
      </c>
      <c r="B186">
        <v>2004</v>
      </c>
      <c r="C186" t="s">
        <v>4</v>
      </c>
      <c r="D186" s="1">
        <v>84139.984587417901</v>
      </c>
    </row>
    <row r="187" spans="1:4" x14ac:dyDescent="0.35">
      <c r="A187" t="s">
        <v>9</v>
      </c>
      <c r="B187">
        <v>2005</v>
      </c>
      <c r="C187" t="s">
        <v>4</v>
      </c>
      <c r="D187" s="1">
        <v>87166.328286235934</v>
      </c>
    </row>
    <row r="188" spans="1:4" x14ac:dyDescent="0.35">
      <c r="A188" t="s">
        <v>9</v>
      </c>
      <c r="B188">
        <v>2006</v>
      </c>
      <c r="C188" t="s">
        <v>4</v>
      </c>
      <c r="D188" s="1">
        <v>90657.022557196149</v>
      </c>
    </row>
    <row r="189" spans="1:4" x14ac:dyDescent="0.35">
      <c r="A189" t="s">
        <v>9</v>
      </c>
      <c r="B189">
        <v>2007</v>
      </c>
      <c r="C189" t="s">
        <v>4</v>
      </c>
      <c r="D189" s="1">
        <v>93771.238342600365</v>
      </c>
    </row>
    <row r="190" spans="1:4" x14ac:dyDescent="0.35">
      <c r="A190" t="s">
        <v>9</v>
      </c>
      <c r="B190">
        <v>2008</v>
      </c>
      <c r="C190" t="s">
        <v>4</v>
      </c>
      <c r="D190" s="1">
        <v>97391.781966537252</v>
      </c>
    </row>
    <row r="191" spans="1:4" x14ac:dyDescent="0.35">
      <c r="A191" t="s">
        <v>9</v>
      </c>
      <c r="B191">
        <v>2009</v>
      </c>
      <c r="C191" t="s">
        <v>4</v>
      </c>
      <c r="D191" s="1">
        <v>100958.060326365</v>
      </c>
    </row>
    <row r="192" spans="1:4" x14ac:dyDescent="0.35">
      <c r="A192" t="s">
        <v>9</v>
      </c>
      <c r="B192">
        <v>2010</v>
      </c>
      <c r="C192" t="s">
        <v>4</v>
      </c>
      <c r="D192" s="1">
        <v>104727.163483999</v>
      </c>
    </row>
    <row r="193" spans="1:4" x14ac:dyDescent="0.35">
      <c r="A193" t="s">
        <v>9</v>
      </c>
      <c r="B193">
        <v>2011</v>
      </c>
      <c r="C193" t="s">
        <v>4</v>
      </c>
      <c r="D193" s="1">
        <v>108972.36593422681</v>
      </c>
    </row>
    <row r="194" spans="1:4" x14ac:dyDescent="0.35">
      <c r="A194" t="s">
        <v>9</v>
      </c>
      <c r="B194">
        <v>2012</v>
      </c>
      <c r="C194" t="s">
        <v>4</v>
      </c>
      <c r="D194" s="1">
        <v>112864.70069855264</v>
      </c>
    </row>
    <row r="195" spans="1:4" x14ac:dyDescent="0.35">
      <c r="A195" t="s">
        <v>9</v>
      </c>
      <c r="B195">
        <v>2013</v>
      </c>
      <c r="C195" t="s">
        <v>4</v>
      </c>
      <c r="D195" s="1">
        <v>117150.23113501396</v>
      </c>
    </row>
    <row r="196" spans="1:4" x14ac:dyDescent="0.35">
      <c r="A196" t="s">
        <v>9</v>
      </c>
      <c r="B196">
        <v>2014</v>
      </c>
      <c r="C196" t="s">
        <v>4</v>
      </c>
      <c r="D196" s="1">
        <v>120510.63299743751</v>
      </c>
    </row>
    <row r="197" spans="1:4" x14ac:dyDescent="0.35">
      <c r="A197" t="s">
        <v>9</v>
      </c>
      <c r="B197">
        <v>2015</v>
      </c>
      <c r="C197" t="s">
        <v>4</v>
      </c>
      <c r="D197" s="1">
        <v>124498.27075346364</v>
      </c>
    </row>
    <row r="198" spans="1:4" x14ac:dyDescent="0.35">
      <c r="A198" t="s">
        <v>9</v>
      </c>
      <c r="B198">
        <v>2016</v>
      </c>
      <c r="C198" t="s">
        <v>4</v>
      </c>
      <c r="D198" s="1">
        <v>128547.98621771857</v>
      </c>
    </row>
    <row r="199" spans="1:4" x14ac:dyDescent="0.35">
      <c r="A199" t="s">
        <v>9</v>
      </c>
      <c r="B199">
        <v>2017</v>
      </c>
      <c r="C199" t="s">
        <v>4</v>
      </c>
      <c r="D199" s="1">
        <v>132202.77175235137</v>
      </c>
    </row>
    <row r="200" spans="1:4" x14ac:dyDescent="0.35">
      <c r="A200" t="s">
        <v>9</v>
      </c>
      <c r="B200">
        <v>2018</v>
      </c>
      <c r="C200" t="s">
        <v>4</v>
      </c>
      <c r="D200" s="1">
        <v>137456.04252764399</v>
      </c>
    </row>
    <row r="201" spans="1:4" x14ac:dyDescent="0.35">
      <c r="A201" t="s">
        <v>9</v>
      </c>
      <c r="B201">
        <v>2019</v>
      </c>
      <c r="C201" t="s">
        <v>4</v>
      </c>
      <c r="D201" s="1">
        <v>141378.63312658822</v>
      </c>
    </row>
    <row r="202" spans="1:4" x14ac:dyDescent="0.35">
      <c r="A202" t="s">
        <v>9</v>
      </c>
      <c r="B202">
        <v>2020</v>
      </c>
      <c r="C202" t="s">
        <v>4</v>
      </c>
      <c r="D202" s="1">
        <v>172287.53696006761</v>
      </c>
    </row>
    <row r="203" spans="1:4" x14ac:dyDescent="0.35">
      <c r="A203" t="s">
        <v>9</v>
      </c>
      <c r="B203">
        <v>2021</v>
      </c>
      <c r="C203" t="s">
        <v>4</v>
      </c>
      <c r="D203" s="1">
        <v>160752.62121880689</v>
      </c>
    </row>
    <row r="204" spans="1:4" x14ac:dyDescent="0.35">
      <c r="A204" t="s">
        <v>9</v>
      </c>
      <c r="B204">
        <v>2022</v>
      </c>
      <c r="C204" t="s">
        <v>4</v>
      </c>
      <c r="D204" s="1">
        <v>143582.05456731439</v>
      </c>
    </row>
    <row r="205" spans="1:4" x14ac:dyDescent="0.35">
      <c r="A205" t="s">
        <v>9</v>
      </c>
      <c r="B205">
        <v>2023</v>
      </c>
      <c r="C205" t="s">
        <v>4</v>
      </c>
      <c r="D205" s="1">
        <v>146719.6018644984</v>
      </c>
    </row>
    <row r="206" spans="1:4" x14ac:dyDescent="0.35">
      <c r="A206" t="s">
        <v>10</v>
      </c>
      <c r="B206">
        <v>1990</v>
      </c>
      <c r="C206" t="s">
        <v>4</v>
      </c>
      <c r="D206" s="1">
        <v>44425.854809571618</v>
      </c>
    </row>
    <row r="207" spans="1:4" x14ac:dyDescent="0.35">
      <c r="A207" t="s">
        <v>10</v>
      </c>
      <c r="B207">
        <v>1991</v>
      </c>
      <c r="C207" t="s">
        <v>4</v>
      </c>
      <c r="D207" s="1">
        <v>48806.785688972304</v>
      </c>
    </row>
    <row r="208" spans="1:4" x14ac:dyDescent="0.35">
      <c r="A208" t="s">
        <v>10</v>
      </c>
      <c r="B208">
        <v>1992</v>
      </c>
      <c r="C208" t="s">
        <v>4</v>
      </c>
      <c r="D208" s="1">
        <v>51036.679795331496</v>
      </c>
    </row>
    <row r="209" spans="1:4" x14ac:dyDescent="0.35">
      <c r="A209" t="s">
        <v>10</v>
      </c>
      <c r="B209">
        <v>1993</v>
      </c>
      <c r="C209" t="s">
        <v>4</v>
      </c>
      <c r="D209" s="1">
        <v>54265.746199667221</v>
      </c>
    </row>
    <row r="210" spans="1:4" x14ac:dyDescent="0.35">
      <c r="A210" t="s">
        <v>10</v>
      </c>
      <c r="B210">
        <v>1994</v>
      </c>
      <c r="C210" t="s">
        <v>4</v>
      </c>
      <c r="D210" s="1">
        <v>64978.946322537515</v>
      </c>
    </row>
    <row r="211" spans="1:4" x14ac:dyDescent="0.35">
      <c r="A211" t="s">
        <v>10</v>
      </c>
      <c r="B211">
        <v>1995</v>
      </c>
      <c r="C211" t="s">
        <v>4</v>
      </c>
      <c r="D211" s="1">
        <v>70752.518348425132</v>
      </c>
    </row>
    <row r="212" spans="1:4" x14ac:dyDescent="0.35">
      <c r="A212" t="s">
        <v>10</v>
      </c>
      <c r="B212">
        <v>1996</v>
      </c>
      <c r="C212" t="s">
        <v>4</v>
      </c>
      <c r="D212" s="1">
        <v>78094.620741516555</v>
      </c>
    </row>
    <row r="213" spans="1:4" x14ac:dyDescent="0.35">
      <c r="A213" t="s">
        <v>10</v>
      </c>
      <c r="B213">
        <v>1997</v>
      </c>
      <c r="C213" t="s">
        <v>4</v>
      </c>
      <c r="D213" s="1">
        <v>84833.679258724122</v>
      </c>
    </row>
    <row r="214" spans="1:4" x14ac:dyDescent="0.35">
      <c r="A214" t="s">
        <v>10</v>
      </c>
      <c r="B214">
        <v>1998</v>
      </c>
      <c r="C214" t="s">
        <v>4</v>
      </c>
      <c r="D214" s="1">
        <v>93868.445608704118</v>
      </c>
    </row>
    <row r="215" spans="1:4" x14ac:dyDescent="0.35">
      <c r="A215" t="s">
        <v>10</v>
      </c>
      <c r="B215">
        <v>1999</v>
      </c>
      <c r="C215" t="s">
        <v>4</v>
      </c>
      <c r="D215" s="1">
        <v>104373.48669623601</v>
      </c>
    </row>
    <row r="216" spans="1:4" x14ac:dyDescent="0.35">
      <c r="A216" t="s">
        <v>10</v>
      </c>
      <c r="B216">
        <v>2000</v>
      </c>
      <c r="C216" t="s">
        <v>4</v>
      </c>
      <c r="D216" s="1">
        <v>118676.15709884107</v>
      </c>
    </row>
    <row r="217" spans="1:4" x14ac:dyDescent="0.35">
      <c r="A217" t="s">
        <v>10</v>
      </c>
      <c r="B217">
        <v>2001</v>
      </c>
      <c r="C217" t="s">
        <v>4</v>
      </c>
      <c r="D217" s="1">
        <v>128312.12269213286</v>
      </c>
    </row>
    <row r="218" spans="1:4" x14ac:dyDescent="0.35">
      <c r="A218" t="s">
        <v>10</v>
      </c>
      <c r="B218">
        <v>2002</v>
      </c>
      <c r="C218" t="s">
        <v>4</v>
      </c>
      <c r="D218" s="1">
        <v>134334.36112295979</v>
      </c>
    </row>
    <row r="219" spans="1:4" x14ac:dyDescent="0.35">
      <c r="A219" t="s">
        <v>10</v>
      </c>
      <c r="B219">
        <v>2003</v>
      </c>
      <c r="C219" t="s">
        <v>4</v>
      </c>
      <c r="D219" s="1">
        <v>138277.43568623118</v>
      </c>
    </row>
    <row r="220" spans="1:4" x14ac:dyDescent="0.35">
      <c r="A220" t="s">
        <v>10</v>
      </c>
      <c r="B220">
        <v>2004</v>
      </c>
      <c r="C220" t="s">
        <v>4</v>
      </c>
      <c r="D220" s="1">
        <v>136849.3895700211</v>
      </c>
    </row>
    <row r="221" spans="1:4" x14ac:dyDescent="0.35">
      <c r="A221" t="s">
        <v>10</v>
      </c>
      <c r="B221">
        <v>2005</v>
      </c>
      <c r="C221" t="s">
        <v>4</v>
      </c>
      <c r="D221" s="1">
        <v>144896.15507589243</v>
      </c>
    </row>
    <row r="222" spans="1:4" x14ac:dyDescent="0.35">
      <c r="A222" t="s">
        <v>10</v>
      </c>
      <c r="B222">
        <v>2006</v>
      </c>
      <c r="C222" t="s">
        <v>4</v>
      </c>
      <c r="D222" s="1">
        <v>149896.36114205557</v>
      </c>
    </row>
    <row r="223" spans="1:4" x14ac:dyDescent="0.35">
      <c r="A223" t="s">
        <v>10</v>
      </c>
      <c r="B223">
        <v>2007</v>
      </c>
      <c r="C223" t="s">
        <v>4</v>
      </c>
      <c r="D223" s="1">
        <v>153533.20286941229</v>
      </c>
    </row>
    <row r="224" spans="1:4" x14ac:dyDescent="0.35">
      <c r="A224" t="s">
        <v>10</v>
      </c>
      <c r="B224">
        <v>2008</v>
      </c>
      <c r="C224" t="s">
        <v>4</v>
      </c>
      <c r="D224" s="1">
        <v>155399.11189739421</v>
      </c>
    </row>
    <row r="225" spans="1:4" x14ac:dyDescent="0.35">
      <c r="A225" t="s">
        <v>10</v>
      </c>
      <c r="B225">
        <v>2009</v>
      </c>
      <c r="C225" t="s">
        <v>4</v>
      </c>
      <c r="D225" s="1">
        <v>153962.13246820663</v>
      </c>
    </row>
    <row r="226" spans="1:4" x14ac:dyDescent="0.35">
      <c r="A226" t="s">
        <v>10</v>
      </c>
      <c r="B226">
        <v>2010</v>
      </c>
      <c r="C226" t="s">
        <v>4</v>
      </c>
      <c r="D226" s="1">
        <v>147311.39707171239</v>
      </c>
    </row>
    <row r="227" spans="1:4" x14ac:dyDescent="0.35">
      <c r="A227" t="s">
        <v>10</v>
      </c>
      <c r="B227">
        <v>2011</v>
      </c>
      <c r="C227" t="s">
        <v>4</v>
      </c>
      <c r="D227" s="1">
        <v>146807.80370224279</v>
      </c>
    </row>
    <row r="228" spans="1:4" x14ac:dyDescent="0.35">
      <c r="A228" t="s">
        <v>10</v>
      </c>
      <c r="B228">
        <v>2012</v>
      </c>
      <c r="C228" t="s">
        <v>4</v>
      </c>
      <c r="D228" s="1">
        <v>147736.23810706273</v>
      </c>
    </row>
    <row r="229" spans="1:4" x14ac:dyDescent="0.35">
      <c r="A229" t="s">
        <v>10</v>
      </c>
      <c r="B229">
        <v>2013</v>
      </c>
      <c r="C229" t="s">
        <v>4</v>
      </c>
      <c r="D229" s="1">
        <v>143066.6960909359</v>
      </c>
    </row>
    <row r="230" spans="1:4" x14ac:dyDescent="0.35">
      <c r="A230" t="s">
        <v>10</v>
      </c>
      <c r="B230">
        <v>2014</v>
      </c>
      <c r="C230" t="s">
        <v>4</v>
      </c>
      <c r="D230" s="1">
        <v>133959.1063239135</v>
      </c>
    </row>
    <row r="231" spans="1:4" x14ac:dyDescent="0.35">
      <c r="A231" t="s">
        <v>10</v>
      </c>
      <c r="B231">
        <v>2015</v>
      </c>
      <c r="C231" t="s">
        <v>4</v>
      </c>
      <c r="D231" s="1">
        <v>130092.90356941693</v>
      </c>
    </row>
    <row r="232" spans="1:4" x14ac:dyDescent="0.35">
      <c r="A232" t="s">
        <v>10</v>
      </c>
      <c r="B232">
        <v>2016</v>
      </c>
      <c r="C232" t="s">
        <v>4</v>
      </c>
      <c r="D232" s="1">
        <v>127374.05734572175</v>
      </c>
    </row>
    <row r="233" spans="1:4" x14ac:dyDescent="0.35">
      <c r="A233" t="s">
        <v>10</v>
      </c>
      <c r="B233">
        <v>2017</v>
      </c>
      <c r="C233" t="s">
        <v>4</v>
      </c>
      <c r="D233" s="1">
        <v>125875.02000021076</v>
      </c>
    </row>
    <row r="234" spans="1:4" x14ac:dyDescent="0.35">
      <c r="A234" t="s">
        <v>10</v>
      </c>
      <c r="B234">
        <v>2018</v>
      </c>
      <c r="C234" t="s">
        <v>4</v>
      </c>
      <c r="D234" s="1">
        <v>122181.97349313233</v>
      </c>
    </row>
    <row r="235" spans="1:4" x14ac:dyDescent="0.35">
      <c r="A235" t="s">
        <v>10</v>
      </c>
      <c r="B235">
        <v>2019</v>
      </c>
      <c r="C235" t="s">
        <v>4</v>
      </c>
      <c r="D235" s="1">
        <v>124548.59032781003</v>
      </c>
    </row>
    <row r="236" spans="1:4" x14ac:dyDescent="0.35">
      <c r="A236" t="s">
        <v>10</v>
      </c>
      <c r="B236">
        <v>2020</v>
      </c>
      <c r="C236" t="s">
        <v>4</v>
      </c>
      <c r="D236" s="1">
        <v>122588.93748850546</v>
      </c>
    </row>
    <row r="237" spans="1:4" x14ac:dyDescent="0.35">
      <c r="A237" t="s">
        <v>10</v>
      </c>
      <c r="B237">
        <v>2021</v>
      </c>
      <c r="C237" t="s">
        <v>4</v>
      </c>
      <c r="D237" s="1">
        <v>123174.4779936214</v>
      </c>
    </row>
    <row r="238" spans="1:4" x14ac:dyDescent="0.35">
      <c r="A238" t="s">
        <v>10</v>
      </c>
      <c r="B238">
        <v>2022</v>
      </c>
      <c r="C238" t="s">
        <v>4</v>
      </c>
      <c r="D238" s="1">
        <v>126442.62437045776</v>
      </c>
    </row>
    <row r="239" spans="1:4" x14ac:dyDescent="0.35">
      <c r="A239" t="s">
        <v>10</v>
      </c>
      <c r="B239">
        <v>2023</v>
      </c>
      <c r="C239" t="s">
        <v>4</v>
      </c>
      <c r="D239" s="1">
        <v>138599.49598897269</v>
      </c>
    </row>
    <row r="240" spans="1:4" x14ac:dyDescent="0.35">
      <c r="A240" t="s">
        <v>11</v>
      </c>
      <c r="B240">
        <v>1990</v>
      </c>
      <c r="C240" t="s">
        <v>4</v>
      </c>
      <c r="D240" s="1">
        <v>142302.38193488537</v>
      </c>
    </row>
    <row r="241" spans="1:4" x14ac:dyDescent="0.35">
      <c r="A241" t="s">
        <v>11</v>
      </c>
      <c r="B241">
        <v>1991</v>
      </c>
      <c r="C241" t="s">
        <v>4</v>
      </c>
      <c r="D241" s="1">
        <v>144881.01252437831</v>
      </c>
    </row>
    <row r="242" spans="1:4" x14ac:dyDescent="0.35">
      <c r="A242" t="s">
        <v>11</v>
      </c>
      <c r="B242">
        <v>1992</v>
      </c>
      <c r="C242" t="s">
        <v>4</v>
      </c>
      <c r="D242" s="1">
        <v>147216.62106819425</v>
      </c>
    </row>
    <row r="243" spans="1:4" x14ac:dyDescent="0.35">
      <c r="A243" t="s">
        <v>11</v>
      </c>
      <c r="B243">
        <v>1993</v>
      </c>
      <c r="C243" t="s">
        <v>4</v>
      </c>
      <c r="D243" s="1">
        <v>147610.49751754379</v>
      </c>
    </row>
    <row r="244" spans="1:4" x14ac:dyDescent="0.35">
      <c r="A244" t="s">
        <v>11</v>
      </c>
      <c r="B244">
        <v>1994</v>
      </c>
      <c r="C244" t="s">
        <v>4</v>
      </c>
      <c r="D244" s="1">
        <v>149259.16743859291</v>
      </c>
    </row>
    <row r="245" spans="1:4" x14ac:dyDescent="0.35">
      <c r="A245" t="s">
        <v>11</v>
      </c>
      <c r="B245">
        <v>1995</v>
      </c>
      <c r="C245" t="s">
        <v>4</v>
      </c>
      <c r="D245" s="1">
        <v>154179.66834616213</v>
      </c>
    </row>
    <row r="246" spans="1:4" x14ac:dyDescent="0.35">
      <c r="A246" t="s">
        <v>11</v>
      </c>
      <c r="B246">
        <v>1996</v>
      </c>
      <c r="C246" t="s">
        <v>4</v>
      </c>
      <c r="D246" s="1">
        <v>161279.45213548449</v>
      </c>
    </row>
    <row r="247" spans="1:4" x14ac:dyDescent="0.35">
      <c r="A247" t="s">
        <v>11</v>
      </c>
      <c r="B247">
        <v>1997</v>
      </c>
      <c r="C247" t="s">
        <v>4</v>
      </c>
      <c r="D247" s="1">
        <v>165273.50470963272</v>
      </c>
    </row>
    <row r="248" spans="1:4" x14ac:dyDescent="0.35">
      <c r="A248" t="s">
        <v>11</v>
      </c>
      <c r="B248">
        <v>1998</v>
      </c>
      <c r="C248" t="s">
        <v>4</v>
      </c>
      <c r="D248" s="1">
        <v>168273.0394072854</v>
      </c>
    </row>
    <row r="249" spans="1:4" x14ac:dyDescent="0.35">
      <c r="A249" t="s">
        <v>11</v>
      </c>
      <c r="B249">
        <v>1999</v>
      </c>
      <c r="C249" t="s">
        <v>4</v>
      </c>
      <c r="D249" s="1">
        <v>178428.13430559263</v>
      </c>
    </row>
    <row r="250" spans="1:4" x14ac:dyDescent="0.35">
      <c r="A250" t="s">
        <v>11</v>
      </c>
      <c r="B250">
        <v>2000</v>
      </c>
      <c r="C250" t="s">
        <v>4</v>
      </c>
      <c r="D250" s="1">
        <v>183322.85622139493</v>
      </c>
    </row>
    <row r="251" spans="1:4" x14ac:dyDescent="0.35">
      <c r="A251" t="s">
        <v>11</v>
      </c>
      <c r="B251">
        <v>2001</v>
      </c>
      <c r="C251" t="s">
        <v>4</v>
      </c>
      <c r="D251" s="1">
        <v>185378.80095305861</v>
      </c>
    </row>
    <row r="252" spans="1:4" x14ac:dyDescent="0.35">
      <c r="A252" t="s">
        <v>11</v>
      </c>
      <c r="B252">
        <v>2002</v>
      </c>
      <c r="C252" t="s">
        <v>4</v>
      </c>
      <c r="D252" s="1">
        <v>190422.39610607468</v>
      </c>
    </row>
    <row r="253" spans="1:4" x14ac:dyDescent="0.35">
      <c r="A253" t="s">
        <v>11</v>
      </c>
      <c r="B253">
        <v>2003</v>
      </c>
      <c r="C253" t="s">
        <v>4</v>
      </c>
      <c r="D253" s="1">
        <v>200692.55357204893</v>
      </c>
    </row>
    <row r="254" spans="1:4" x14ac:dyDescent="0.35">
      <c r="A254" t="s">
        <v>11</v>
      </c>
      <c r="B254">
        <v>2004</v>
      </c>
      <c r="C254" t="s">
        <v>4</v>
      </c>
      <c r="D254" s="1">
        <v>207261.58651757619</v>
      </c>
    </row>
    <row r="255" spans="1:4" x14ac:dyDescent="0.35">
      <c r="A255" t="s">
        <v>11</v>
      </c>
      <c r="B255">
        <v>2005</v>
      </c>
      <c r="C255" t="s">
        <v>4</v>
      </c>
      <c r="D255" s="1">
        <v>207212.73540337227</v>
      </c>
    </row>
    <row r="256" spans="1:4" x14ac:dyDescent="0.35">
      <c r="A256" t="s">
        <v>11</v>
      </c>
      <c r="B256">
        <v>2006</v>
      </c>
      <c r="C256" t="s">
        <v>4</v>
      </c>
      <c r="D256" s="1">
        <v>212104.17398609227</v>
      </c>
    </row>
    <row r="257" spans="1:4" x14ac:dyDescent="0.35">
      <c r="A257" t="s">
        <v>11</v>
      </c>
      <c r="B257">
        <v>2007</v>
      </c>
      <c r="C257" t="s">
        <v>4</v>
      </c>
      <c r="D257" s="1">
        <v>216751.08751025467</v>
      </c>
    </row>
    <row r="258" spans="1:4" x14ac:dyDescent="0.35">
      <c r="A258" t="s">
        <v>11</v>
      </c>
      <c r="B258">
        <v>2008</v>
      </c>
      <c r="C258" t="s">
        <v>4</v>
      </c>
      <c r="D258" s="1">
        <v>223554.00535056787</v>
      </c>
    </row>
    <row r="259" spans="1:4" x14ac:dyDescent="0.35">
      <c r="A259" t="s">
        <v>11</v>
      </c>
      <c r="B259">
        <v>2009</v>
      </c>
      <c r="C259" t="s">
        <v>4</v>
      </c>
      <c r="D259" s="1">
        <v>225069.99854835134</v>
      </c>
    </row>
    <row r="260" spans="1:4" x14ac:dyDescent="0.35">
      <c r="A260" t="s">
        <v>11</v>
      </c>
      <c r="B260">
        <v>2010</v>
      </c>
      <c r="C260" t="s">
        <v>4</v>
      </c>
      <c r="D260" s="1">
        <v>237067.58054004956</v>
      </c>
    </row>
    <row r="261" spans="1:4" x14ac:dyDescent="0.35">
      <c r="A261" t="s">
        <v>11</v>
      </c>
      <c r="B261">
        <v>2011</v>
      </c>
      <c r="C261" t="s">
        <v>4</v>
      </c>
      <c r="D261" s="1">
        <v>242272.32760785118</v>
      </c>
    </row>
    <row r="262" spans="1:4" x14ac:dyDescent="0.35">
      <c r="A262" t="s">
        <v>11</v>
      </c>
      <c r="B262">
        <v>2012</v>
      </c>
      <c r="C262" t="s">
        <v>4</v>
      </c>
      <c r="D262" s="1">
        <v>251691.29570793101</v>
      </c>
    </row>
    <row r="263" spans="1:4" x14ac:dyDescent="0.35">
      <c r="A263" t="s">
        <v>11</v>
      </c>
      <c r="B263">
        <v>2013</v>
      </c>
      <c r="C263" t="s">
        <v>4</v>
      </c>
      <c r="D263" s="1">
        <v>257349.20188786008</v>
      </c>
    </row>
    <row r="264" spans="1:4" x14ac:dyDescent="0.35">
      <c r="A264" t="s">
        <v>11</v>
      </c>
      <c r="B264">
        <v>2014</v>
      </c>
      <c r="C264" t="s">
        <v>4</v>
      </c>
      <c r="D264" s="1">
        <v>265945.24137475563</v>
      </c>
    </row>
    <row r="265" spans="1:4" x14ac:dyDescent="0.35">
      <c r="A265" t="s">
        <v>11</v>
      </c>
      <c r="B265">
        <v>2015</v>
      </c>
      <c r="C265" t="s">
        <v>4</v>
      </c>
      <c r="D265" s="1">
        <v>279585.81438093574</v>
      </c>
    </row>
    <row r="266" spans="1:4" x14ac:dyDescent="0.35">
      <c r="A266" t="s">
        <v>11</v>
      </c>
      <c r="B266">
        <v>2016</v>
      </c>
      <c r="C266" t="s">
        <v>4</v>
      </c>
      <c r="D266" s="1">
        <v>282779.60741292097</v>
      </c>
    </row>
    <row r="267" spans="1:4" x14ac:dyDescent="0.35">
      <c r="A267" t="s">
        <v>11</v>
      </c>
      <c r="B267">
        <v>2017</v>
      </c>
      <c r="C267" t="s">
        <v>4</v>
      </c>
      <c r="D267" s="1">
        <v>288529.40355290024</v>
      </c>
    </row>
    <row r="268" spans="1:4" x14ac:dyDescent="0.35">
      <c r="A268" t="s">
        <v>11</v>
      </c>
      <c r="B268">
        <v>2018</v>
      </c>
      <c r="C268" t="s">
        <v>4</v>
      </c>
      <c r="D268" s="1">
        <v>289067.39455494052</v>
      </c>
    </row>
    <row r="269" spans="1:4" x14ac:dyDescent="0.35">
      <c r="A269" t="s">
        <v>11</v>
      </c>
      <c r="B269">
        <v>2019</v>
      </c>
      <c r="C269" t="s">
        <v>4</v>
      </c>
      <c r="D269" s="1">
        <v>273629.82561603672</v>
      </c>
    </row>
    <row r="270" spans="1:4" x14ac:dyDescent="0.35">
      <c r="A270" t="s">
        <v>11</v>
      </c>
      <c r="B270">
        <v>2020</v>
      </c>
      <c r="C270" t="s">
        <v>4</v>
      </c>
      <c r="D270" s="1">
        <v>267955.10298011074</v>
      </c>
    </row>
    <row r="271" spans="1:4" x14ac:dyDescent="0.35">
      <c r="A271" t="s">
        <v>11</v>
      </c>
      <c r="B271">
        <v>2021</v>
      </c>
      <c r="C271" t="s">
        <v>4</v>
      </c>
      <c r="D271" s="1">
        <v>272076.08925836341</v>
      </c>
    </row>
    <row r="272" spans="1:4" x14ac:dyDescent="0.35">
      <c r="A272" t="s">
        <v>11</v>
      </c>
      <c r="B272">
        <v>2022</v>
      </c>
      <c r="C272" t="s">
        <v>4</v>
      </c>
      <c r="D272" s="1">
        <v>273204.52616177947</v>
      </c>
    </row>
    <row r="273" spans="1:4" x14ac:dyDescent="0.35">
      <c r="A273" t="s">
        <v>11</v>
      </c>
      <c r="B273">
        <v>2023</v>
      </c>
      <c r="C273" t="s">
        <v>4</v>
      </c>
      <c r="D273" s="1">
        <v>279002.837945926</v>
      </c>
    </row>
    <row r="274" spans="1:4" x14ac:dyDescent="0.35">
      <c r="A274" t="s">
        <v>12</v>
      </c>
      <c r="B274">
        <v>1990</v>
      </c>
      <c r="C274" t="s">
        <v>4</v>
      </c>
      <c r="D274" s="1">
        <v>74392.084396070641</v>
      </c>
    </row>
    <row r="275" spans="1:4" x14ac:dyDescent="0.35">
      <c r="A275" t="s">
        <v>12</v>
      </c>
      <c r="B275">
        <v>1991</v>
      </c>
      <c r="C275" t="s">
        <v>4</v>
      </c>
      <c r="D275" s="1">
        <v>78293.05466161255</v>
      </c>
    </row>
    <row r="276" spans="1:4" x14ac:dyDescent="0.35">
      <c r="A276" t="s">
        <v>12</v>
      </c>
      <c r="B276">
        <v>1992</v>
      </c>
      <c r="C276" t="s">
        <v>4</v>
      </c>
      <c r="D276" s="1">
        <v>82004.642990564578</v>
      </c>
    </row>
    <row r="277" spans="1:4" x14ac:dyDescent="0.35">
      <c r="A277" t="s">
        <v>12</v>
      </c>
      <c r="B277">
        <v>1993</v>
      </c>
      <c r="C277" t="s">
        <v>4</v>
      </c>
      <c r="D277" s="1">
        <v>85226.746371934656</v>
      </c>
    </row>
    <row r="278" spans="1:4" x14ac:dyDescent="0.35">
      <c r="A278" t="s">
        <v>12</v>
      </c>
      <c r="B278">
        <v>1994</v>
      </c>
      <c r="C278" t="s">
        <v>4</v>
      </c>
      <c r="D278" s="1">
        <v>88600.886296216195</v>
      </c>
    </row>
    <row r="279" spans="1:4" x14ac:dyDescent="0.35">
      <c r="A279" t="s">
        <v>12</v>
      </c>
      <c r="B279">
        <v>1995</v>
      </c>
      <c r="C279" t="s">
        <v>4</v>
      </c>
      <c r="D279" s="1">
        <v>103332.04902515952</v>
      </c>
    </row>
    <row r="280" spans="1:4" x14ac:dyDescent="0.35">
      <c r="A280" t="s">
        <v>12</v>
      </c>
      <c r="B280">
        <v>1996</v>
      </c>
      <c r="C280" t="s">
        <v>4</v>
      </c>
      <c r="D280" s="1">
        <v>120669.84067959068</v>
      </c>
    </row>
    <row r="281" spans="1:4" x14ac:dyDescent="0.35">
      <c r="A281" t="s">
        <v>12</v>
      </c>
      <c r="B281">
        <v>1997</v>
      </c>
      <c r="C281" t="s">
        <v>4</v>
      </c>
      <c r="D281" s="1">
        <v>129694.89254238085</v>
      </c>
    </row>
    <row r="282" spans="1:4" x14ac:dyDescent="0.35">
      <c r="A282" t="s">
        <v>12</v>
      </c>
      <c r="B282">
        <v>1998</v>
      </c>
      <c r="C282" t="s">
        <v>4</v>
      </c>
      <c r="D282" s="1">
        <v>132343.42927695799</v>
      </c>
    </row>
    <row r="283" spans="1:4" x14ac:dyDescent="0.35">
      <c r="A283" t="s">
        <v>12</v>
      </c>
      <c r="B283">
        <v>1999</v>
      </c>
      <c r="C283" t="s">
        <v>4</v>
      </c>
      <c r="D283" s="1">
        <v>148094.47212189721</v>
      </c>
    </row>
    <row r="284" spans="1:4" x14ac:dyDescent="0.35">
      <c r="A284" t="s">
        <v>12</v>
      </c>
      <c r="B284">
        <v>2000</v>
      </c>
      <c r="C284" t="s">
        <v>4</v>
      </c>
      <c r="D284" s="1">
        <v>146278.16389421906</v>
      </c>
    </row>
    <row r="285" spans="1:4" x14ac:dyDescent="0.35">
      <c r="A285" t="s">
        <v>12</v>
      </c>
      <c r="B285">
        <v>2001</v>
      </c>
      <c r="C285" t="s">
        <v>4</v>
      </c>
      <c r="D285" s="1">
        <v>153238.75112192795</v>
      </c>
    </row>
    <row r="286" spans="1:4" x14ac:dyDescent="0.35">
      <c r="A286" t="s">
        <v>12</v>
      </c>
      <c r="B286">
        <v>2002</v>
      </c>
      <c r="C286" t="s">
        <v>4</v>
      </c>
      <c r="D286" s="1">
        <v>157761.07866062201</v>
      </c>
    </row>
    <row r="287" spans="1:4" x14ac:dyDescent="0.35">
      <c r="A287" t="s">
        <v>12</v>
      </c>
      <c r="B287">
        <v>2003</v>
      </c>
      <c r="C287" t="s">
        <v>4</v>
      </c>
      <c r="D287" s="1">
        <v>170285.58184048586</v>
      </c>
    </row>
    <row r="288" spans="1:4" x14ac:dyDescent="0.35">
      <c r="A288" t="s">
        <v>12</v>
      </c>
      <c r="B288">
        <v>2004</v>
      </c>
      <c r="C288" t="s">
        <v>4</v>
      </c>
      <c r="D288" s="1">
        <v>177358.11441451154</v>
      </c>
    </row>
    <row r="289" spans="1:4" x14ac:dyDescent="0.35">
      <c r="A289" t="s">
        <v>12</v>
      </c>
      <c r="B289">
        <v>2005</v>
      </c>
      <c r="C289" t="s">
        <v>4</v>
      </c>
      <c r="D289" s="1">
        <v>180685.72872426052</v>
      </c>
    </row>
    <row r="290" spans="1:4" x14ac:dyDescent="0.35">
      <c r="A290" t="s">
        <v>12</v>
      </c>
      <c r="B290">
        <v>2006</v>
      </c>
      <c r="C290" t="s">
        <v>4</v>
      </c>
      <c r="D290" s="1">
        <v>184866.08322412689</v>
      </c>
    </row>
    <row r="291" spans="1:4" x14ac:dyDescent="0.35">
      <c r="A291" t="s">
        <v>12</v>
      </c>
      <c r="B291">
        <v>2007</v>
      </c>
      <c r="C291" t="s">
        <v>4</v>
      </c>
      <c r="D291" s="1">
        <v>192428.89358422597</v>
      </c>
    </row>
    <row r="292" spans="1:4" x14ac:dyDescent="0.35">
      <c r="A292" t="s">
        <v>12</v>
      </c>
      <c r="B292">
        <v>2008</v>
      </c>
      <c r="C292" t="s">
        <v>4</v>
      </c>
      <c r="D292" s="1">
        <v>202754.48533903353</v>
      </c>
    </row>
    <row r="293" spans="1:4" x14ac:dyDescent="0.35">
      <c r="A293" t="s">
        <v>12</v>
      </c>
      <c r="B293">
        <v>2009</v>
      </c>
      <c r="C293" t="s">
        <v>4</v>
      </c>
      <c r="D293" s="1">
        <v>211306.22253717305</v>
      </c>
    </row>
    <row r="294" spans="1:4" x14ac:dyDescent="0.35">
      <c r="A294" t="s">
        <v>12</v>
      </c>
      <c r="B294">
        <v>2010</v>
      </c>
      <c r="C294" t="s">
        <v>4</v>
      </c>
      <c r="D294" s="1">
        <v>223959.94500690428</v>
      </c>
    </row>
    <row r="295" spans="1:4" x14ac:dyDescent="0.35">
      <c r="A295" t="s">
        <v>12</v>
      </c>
      <c r="B295">
        <v>2011</v>
      </c>
      <c r="C295" t="s">
        <v>4</v>
      </c>
      <c r="D295" s="1">
        <v>229394.76467671091</v>
      </c>
    </row>
    <row r="296" spans="1:4" x14ac:dyDescent="0.35">
      <c r="A296" t="s">
        <v>12</v>
      </c>
      <c r="B296">
        <v>2012</v>
      </c>
      <c r="C296" t="s">
        <v>4</v>
      </c>
      <c r="D296" s="1">
        <v>237163.66323608646</v>
      </c>
    </row>
    <row r="297" spans="1:4" x14ac:dyDescent="0.35">
      <c r="A297" t="s">
        <v>12</v>
      </c>
      <c r="B297">
        <v>2013</v>
      </c>
      <c r="C297" t="s">
        <v>4</v>
      </c>
      <c r="D297" s="1">
        <v>253277.94408855424</v>
      </c>
    </row>
    <row r="298" spans="1:4" x14ac:dyDescent="0.35">
      <c r="A298" t="s">
        <v>12</v>
      </c>
      <c r="B298">
        <v>2014</v>
      </c>
      <c r="C298" t="s">
        <v>4</v>
      </c>
      <c r="D298" s="1">
        <v>275218.81245913351</v>
      </c>
    </row>
    <row r="299" spans="1:4" x14ac:dyDescent="0.35">
      <c r="A299" t="s">
        <v>12</v>
      </c>
      <c r="B299">
        <v>2015</v>
      </c>
      <c r="C299" t="s">
        <v>4</v>
      </c>
      <c r="D299" s="1">
        <v>288976.93594833155</v>
      </c>
    </row>
    <row r="300" spans="1:4" x14ac:dyDescent="0.35">
      <c r="A300" t="s">
        <v>12</v>
      </c>
      <c r="B300">
        <v>2016</v>
      </c>
      <c r="C300" t="s">
        <v>4</v>
      </c>
      <c r="D300" s="1">
        <v>302677.74977542571</v>
      </c>
    </row>
    <row r="301" spans="1:4" x14ac:dyDescent="0.35">
      <c r="A301" t="s">
        <v>12</v>
      </c>
      <c r="B301">
        <v>2017</v>
      </c>
      <c r="C301" t="s">
        <v>4</v>
      </c>
      <c r="D301" s="1">
        <v>322202.38325710996</v>
      </c>
    </row>
    <row r="302" spans="1:4" x14ac:dyDescent="0.35">
      <c r="A302" t="s">
        <v>12</v>
      </c>
      <c r="B302">
        <v>2018</v>
      </c>
      <c r="C302" t="s">
        <v>4</v>
      </c>
      <c r="D302" s="1">
        <v>352039.80773700692</v>
      </c>
    </row>
    <row r="303" spans="1:4" x14ac:dyDescent="0.35">
      <c r="A303" t="s">
        <v>12</v>
      </c>
      <c r="B303">
        <v>2019</v>
      </c>
      <c r="C303" t="s">
        <v>4</v>
      </c>
      <c r="D303" s="1">
        <v>389806.19121515792</v>
      </c>
    </row>
    <row r="304" spans="1:4" x14ac:dyDescent="0.35">
      <c r="A304" t="s">
        <v>12</v>
      </c>
      <c r="B304">
        <v>2020</v>
      </c>
      <c r="C304" t="s">
        <v>4</v>
      </c>
      <c r="D304" s="1">
        <v>408100.96768935723</v>
      </c>
    </row>
    <row r="305" spans="1:4" x14ac:dyDescent="0.35">
      <c r="A305" t="s">
        <v>12</v>
      </c>
      <c r="B305">
        <v>2021</v>
      </c>
      <c r="C305" t="s">
        <v>4</v>
      </c>
      <c r="D305" s="1">
        <v>428854.537973698</v>
      </c>
    </row>
    <row r="306" spans="1:4" x14ac:dyDescent="0.35">
      <c r="A306" t="s">
        <v>12</v>
      </c>
      <c r="B306">
        <v>2022</v>
      </c>
      <c r="C306" t="s">
        <v>4</v>
      </c>
      <c r="D306" s="1">
        <v>447779.55289632623</v>
      </c>
    </row>
    <row r="307" spans="1:4" x14ac:dyDescent="0.35">
      <c r="A307" t="s">
        <v>12</v>
      </c>
      <c r="B307">
        <v>2023</v>
      </c>
      <c r="C307" t="s">
        <v>4</v>
      </c>
      <c r="D307" s="1">
        <v>454535.68689226173</v>
      </c>
    </row>
    <row r="308" spans="1:4" x14ac:dyDescent="0.35">
      <c r="A308" t="s">
        <v>13</v>
      </c>
      <c r="B308">
        <v>1990</v>
      </c>
      <c r="C308" t="s">
        <v>4</v>
      </c>
      <c r="D308" s="1">
        <v>13576.476356220903</v>
      </c>
    </row>
    <row r="309" spans="1:4" x14ac:dyDescent="0.35">
      <c r="A309" t="s">
        <v>13</v>
      </c>
      <c r="B309">
        <v>1991</v>
      </c>
      <c r="C309" t="s">
        <v>4</v>
      </c>
      <c r="D309" s="1">
        <v>14224.6587195185</v>
      </c>
    </row>
    <row r="310" spans="1:4" x14ac:dyDescent="0.35">
      <c r="A310" t="s">
        <v>13</v>
      </c>
      <c r="B310">
        <v>1992</v>
      </c>
      <c r="C310" t="s">
        <v>4</v>
      </c>
      <c r="D310" s="1">
        <v>14952.964445592474</v>
      </c>
    </row>
    <row r="311" spans="1:4" x14ac:dyDescent="0.35">
      <c r="A311" t="s">
        <v>13</v>
      </c>
      <c r="B311">
        <v>1993</v>
      </c>
      <c r="C311" t="s">
        <v>4</v>
      </c>
      <c r="D311" s="1">
        <v>15792.804431933344</v>
      </c>
    </row>
    <row r="312" spans="1:4" x14ac:dyDescent="0.35">
      <c r="A312" t="s">
        <v>13</v>
      </c>
      <c r="B312">
        <v>1994</v>
      </c>
      <c r="C312" t="s">
        <v>4</v>
      </c>
      <c r="D312" s="1">
        <v>16720.527624711773</v>
      </c>
    </row>
    <row r="313" spans="1:4" x14ac:dyDescent="0.35">
      <c r="A313" t="s">
        <v>13</v>
      </c>
      <c r="B313">
        <v>1995</v>
      </c>
      <c r="C313" t="s">
        <v>4</v>
      </c>
      <c r="D313" s="1">
        <v>17564.996020025643</v>
      </c>
    </row>
    <row r="314" spans="1:4" x14ac:dyDescent="0.35">
      <c r="A314" t="s">
        <v>13</v>
      </c>
      <c r="B314">
        <v>1996</v>
      </c>
      <c r="C314" t="s">
        <v>4</v>
      </c>
      <c r="D314" s="1">
        <v>18592.232869954667</v>
      </c>
    </row>
    <row r="315" spans="1:4" x14ac:dyDescent="0.35">
      <c r="A315" t="s">
        <v>13</v>
      </c>
      <c r="B315">
        <v>1997</v>
      </c>
      <c r="C315" t="s">
        <v>4</v>
      </c>
      <c r="D315" s="1">
        <v>19640.087167677575</v>
      </c>
    </row>
    <row r="316" spans="1:4" x14ac:dyDescent="0.35">
      <c r="A316" t="s">
        <v>13</v>
      </c>
      <c r="B316">
        <v>1998</v>
      </c>
      <c r="C316" t="s">
        <v>4</v>
      </c>
      <c r="D316" s="1">
        <v>20661.856968902481</v>
      </c>
    </row>
    <row r="317" spans="1:4" x14ac:dyDescent="0.35">
      <c r="A317" t="s">
        <v>13</v>
      </c>
      <c r="B317">
        <v>1999</v>
      </c>
      <c r="C317" t="s">
        <v>4</v>
      </c>
      <c r="D317" s="1">
        <v>21416.683211316082</v>
      </c>
    </row>
    <row r="318" spans="1:4" x14ac:dyDescent="0.35">
      <c r="A318" t="s">
        <v>13</v>
      </c>
      <c r="B318">
        <v>2000</v>
      </c>
      <c r="C318" t="s">
        <v>4</v>
      </c>
      <c r="D318" s="1">
        <v>22212.201522089741</v>
      </c>
    </row>
    <row r="319" spans="1:4" x14ac:dyDescent="0.35">
      <c r="A319" t="s">
        <v>13</v>
      </c>
      <c r="B319">
        <v>2001</v>
      </c>
      <c r="C319" t="s">
        <v>4</v>
      </c>
      <c r="D319" s="1">
        <v>23001.418276836273</v>
      </c>
    </row>
    <row r="320" spans="1:4" x14ac:dyDescent="0.35">
      <c r="A320" t="s">
        <v>13</v>
      </c>
      <c r="B320">
        <v>2002</v>
      </c>
      <c r="C320" t="s">
        <v>4</v>
      </c>
      <c r="D320" s="1">
        <v>23662.789181227068</v>
      </c>
    </row>
    <row r="321" spans="1:4" x14ac:dyDescent="0.35">
      <c r="A321" t="s">
        <v>13</v>
      </c>
      <c r="B321">
        <v>2003</v>
      </c>
      <c r="C321" t="s">
        <v>4</v>
      </c>
      <c r="D321" s="1">
        <v>24171.453547083129</v>
      </c>
    </row>
    <row r="322" spans="1:4" x14ac:dyDescent="0.35">
      <c r="A322" t="s">
        <v>13</v>
      </c>
      <c r="B322">
        <v>2004</v>
      </c>
      <c r="C322" t="s">
        <v>4</v>
      </c>
      <c r="D322" s="1">
        <v>24886.023422778071</v>
      </c>
    </row>
    <row r="323" spans="1:4" x14ac:dyDescent="0.35">
      <c r="A323" t="s">
        <v>13</v>
      </c>
      <c r="B323">
        <v>2005</v>
      </c>
      <c r="C323" t="s">
        <v>4</v>
      </c>
      <c r="D323" s="1">
        <v>25787.33664761336</v>
      </c>
    </row>
    <row r="324" spans="1:4" x14ac:dyDescent="0.35">
      <c r="A324" t="s">
        <v>13</v>
      </c>
      <c r="B324">
        <v>2006</v>
      </c>
      <c r="C324" t="s">
        <v>4</v>
      </c>
      <c r="D324" s="1">
        <v>26494.552238788103</v>
      </c>
    </row>
    <row r="325" spans="1:4" x14ac:dyDescent="0.35">
      <c r="A325" t="s">
        <v>13</v>
      </c>
      <c r="B325">
        <v>2007</v>
      </c>
      <c r="C325" t="s">
        <v>4</v>
      </c>
      <c r="D325" s="1">
        <v>27475.262006935394</v>
      </c>
    </row>
    <row r="326" spans="1:4" x14ac:dyDescent="0.35">
      <c r="A326" t="s">
        <v>13</v>
      </c>
      <c r="B326">
        <v>2008</v>
      </c>
      <c r="C326" t="s">
        <v>4</v>
      </c>
      <c r="D326" s="1">
        <v>28158.401836186036</v>
      </c>
    </row>
    <row r="327" spans="1:4" x14ac:dyDescent="0.35">
      <c r="A327" t="s">
        <v>13</v>
      </c>
      <c r="B327">
        <v>2009</v>
      </c>
      <c r="C327" t="s">
        <v>4</v>
      </c>
      <c r="D327" s="1">
        <v>29035.801825496463</v>
      </c>
    </row>
    <row r="328" spans="1:4" x14ac:dyDescent="0.35">
      <c r="A328" t="s">
        <v>13</v>
      </c>
      <c r="B328">
        <v>2010</v>
      </c>
      <c r="C328" t="s">
        <v>4</v>
      </c>
      <c r="D328" s="1">
        <v>30361.490148925946</v>
      </c>
    </row>
    <row r="329" spans="1:4" x14ac:dyDescent="0.35">
      <c r="A329" t="s">
        <v>13</v>
      </c>
      <c r="B329">
        <v>2011</v>
      </c>
      <c r="C329" t="s">
        <v>4</v>
      </c>
      <c r="D329" s="1">
        <v>31458.838226894502</v>
      </c>
    </row>
    <row r="330" spans="1:4" x14ac:dyDescent="0.35">
      <c r="A330" t="s">
        <v>13</v>
      </c>
      <c r="B330">
        <v>2012</v>
      </c>
      <c r="C330" t="s">
        <v>4</v>
      </c>
      <c r="D330" s="1">
        <v>32667.893664733663</v>
      </c>
    </row>
    <row r="331" spans="1:4" x14ac:dyDescent="0.35">
      <c r="A331" t="s">
        <v>13</v>
      </c>
      <c r="B331">
        <v>2013</v>
      </c>
      <c r="C331" t="s">
        <v>4</v>
      </c>
      <c r="D331" s="1">
        <v>33648.116909474506</v>
      </c>
    </row>
    <row r="332" spans="1:4" x14ac:dyDescent="0.35">
      <c r="A332" t="s">
        <v>13</v>
      </c>
      <c r="B332">
        <v>2014</v>
      </c>
      <c r="C332" t="s">
        <v>4</v>
      </c>
      <c r="D332" s="1">
        <v>35152.067680867047</v>
      </c>
    </row>
    <row r="333" spans="1:4" x14ac:dyDescent="0.35">
      <c r="A333" t="s">
        <v>13</v>
      </c>
      <c r="B333">
        <v>2015</v>
      </c>
      <c r="C333" t="s">
        <v>4</v>
      </c>
      <c r="D333" s="1">
        <v>36677.429538925462</v>
      </c>
    </row>
    <row r="334" spans="1:4" x14ac:dyDescent="0.35">
      <c r="A334" t="s">
        <v>13</v>
      </c>
      <c r="B334">
        <v>2016</v>
      </c>
      <c r="C334" t="s">
        <v>4</v>
      </c>
      <c r="D334" s="1">
        <v>38327.641832484434</v>
      </c>
    </row>
    <row r="335" spans="1:4" x14ac:dyDescent="0.35">
      <c r="A335" t="s">
        <v>13</v>
      </c>
      <c r="B335">
        <v>2017</v>
      </c>
      <c r="C335" t="s">
        <v>4</v>
      </c>
      <c r="D335" s="1">
        <v>40372.816742498937</v>
      </c>
    </row>
    <row r="336" spans="1:4" x14ac:dyDescent="0.35">
      <c r="A336" t="s">
        <v>13</v>
      </c>
      <c r="B336">
        <v>2018</v>
      </c>
      <c r="C336" t="s">
        <v>4</v>
      </c>
      <c r="D336" s="1">
        <v>42642.9126089704</v>
      </c>
    </row>
    <row r="337" spans="1:4" x14ac:dyDescent="0.35">
      <c r="A337" t="s">
        <v>13</v>
      </c>
      <c r="B337">
        <v>2019</v>
      </c>
      <c r="C337" t="s">
        <v>4</v>
      </c>
      <c r="D337" s="1">
        <v>44931.902757722666</v>
      </c>
    </row>
    <row r="338" spans="1:4" x14ac:dyDescent="0.35">
      <c r="A338" t="s">
        <v>13</v>
      </c>
      <c r="B338">
        <v>2020</v>
      </c>
      <c r="C338" t="s">
        <v>4</v>
      </c>
      <c r="D338" s="1">
        <v>46590.539843571773</v>
      </c>
    </row>
    <row r="339" spans="1:4" x14ac:dyDescent="0.35">
      <c r="A339" t="s">
        <v>13</v>
      </c>
      <c r="B339">
        <v>2021</v>
      </c>
      <c r="C339" t="s">
        <v>4</v>
      </c>
      <c r="D339" s="1">
        <v>48206.398085927023</v>
      </c>
    </row>
    <row r="340" spans="1:4" x14ac:dyDescent="0.35">
      <c r="A340" t="s">
        <v>13</v>
      </c>
      <c r="B340">
        <v>2022</v>
      </c>
      <c r="C340" t="s">
        <v>4</v>
      </c>
      <c r="D340" s="1">
        <v>43548.24728159354</v>
      </c>
    </row>
    <row r="341" spans="1:4" x14ac:dyDescent="0.35">
      <c r="A341" t="s">
        <v>13</v>
      </c>
      <c r="B341">
        <v>2023</v>
      </c>
      <c r="C341" t="s">
        <v>4</v>
      </c>
      <c r="D341" s="1">
        <v>44788.061884440445</v>
      </c>
    </row>
    <row r="342" spans="1:4" x14ac:dyDescent="0.35">
      <c r="A342" t="s">
        <v>14</v>
      </c>
      <c r="B342">
        <v>1990</v>
      </c>
      <c r="C342" t="s">
        <v>4</v>
      </c>
      <c r="D342" s="1">
        <v>4709.145281953648</v>
      </c>
    </row>
    <row r="343" spans="1:4" x14ac:dyDescent="0.35">
      <c r="A343" t="s">
        <v>14</v>
      </c>
      <c r="B343">
        <v>1991</v>
      </c>
      <c r="C343" t="s">
        <v>4</v>
      </c>
      <c r="D343" s="1">
        <v>4594.2631209035244</v>
      </c>
    </row>
    <row r="344" spans="1:4" x14ac:dyDescent="0.35">
      <c r="A344" t="s">
        <v>14</v>
      </c>
      <c r="B344">
        <v>1992</v>
      </c>
      <c r="C344" t="s">
        <v>4</v>
      </c>
      <c r="D344" s="1">
        <v>4555.918155063413</v>
      </c>
    </row>
    <row r="345" spans="1:4" x14ac:dyDescent="0.35">
      <c r="A345" t="s">
        <v>14</v>
      </c>
      <c r="B345">
        <v>1993</v>
      </c>
      <c r="C345" t="s">
        <v>4</v>
      </c>
      <c r="D345" s="1">
        <v>4598.1897161738343</v>
      </c>
    </row>
    <row r="346" spans="1:4" x14ac:dyDescent="0.35">
      <c r="A346" t="s">
        <v>14</v>
      </c>
      <c r="B346">
        <v>1994</v>
      </c>
      <c r="C346" t="s">
        <v>4</v>
      </c>
      <c r="D346" s="1">
        <v>4377.6700746148017</v>
      </c>
    </row>
    <row r="347" spans="1:4" x14ac:dyDescent="0.35">
      <c r="A347" t="s">
        <v>14</v>
      </c>
      <c r="B347">
        <v>1995</v>
      </c>
      <c r="C347" t="s">
        <v>4</v>
      </c>
      <c r="D347" s="1">
        <v>4425.1042976305826</v>
      </c>
    </row>
    <row r="348" spans="1:4" x14ac:dyDescent="0.35">
      <c r="A348" t="s">
        <v>14</v>
      </c>
      <c r="B348">
        <v>1996</v>
      </c>
      <c r="C348" t="s">
        <v>4</v>
      </c>
      <c r="D348" s="1">
        <v>4604.8177825800549</v>
      </c>
    </row>
    <row r="349" spans="1:4" x14ac:dyDescent="0.35">
      <c r="A349" t="s">
        <v>14</v>
      </c>
      <c r="B349">
        <v>1997</v>
      </c>
      <c r="C349" t="s">
        <v>4</v>
      </c>
      <c r="D349" s="1">
        <v>4650.2474884695339</v>
      </c>
    </row>
    <row r="350" spans="1:4" x14ac:dyDescent="0.35">
      <c r="A350" t="s">
        <v>14</v>
      </c>
      <c r="B350">
        <v>1998</v>
      </c>
      <c r="C350" t="s">
        <v>4</v>
      </c>
      <c r="D350" s="1">
        <v>4654.925802586059</v>
      </c>
    </row>
    <row r="351" spans="1:4" x14ac:dyDescent="0.35">
      <c r="A351" t="s">
        <v>14</v>
      </c>
      <c r="B351">
        <v>1999</v>
      </c>
      <c r="C351" t="s">
        <v>4</v>
      </c>
      <c r="D351" s="1">
        <v>5103.3424266339007</v>
      </c>
    </row>
    <row r="352" spans="1:4" x14ac:dyDescent="0.35">
      <c r="A352" t="s">
        <v>14</v>
      </c>
      <c r="B352">
        <v>2000</v>
      </c>
      <c r="C352" t="s">
        <v>4</v>
      </c>
      <c r="D352" s="1">
        <v>6043.7937431563769</v>
      </c>
    </row>
    <row r="353" spans="1:4" x14ac:dyDescent="0.35">
      <c r="A353" t="s">
        <v>14</v>
      </c>
      <c r="B353">
        <v>2001</v>
      </c>
      <c r="C353" t="s">
        <v>4</v>
      </c>
      <c r="D353" s="1">
        <v>6352.4710246159193</v>
      </c>
    </row>
    <row r="354" spans="1:4" x14ac:dyDescent="0.35">
      <c r="A354" t="s">
        <v>14</v>
      </c>
      <c r="B354">
        <v>2002</v>
      </c>
      <c r="C354" t="s">
        <v>4</v>
      </c>
      <c r="D354" s="1">
        <v>6338.4911714103391</v>
      </c>
    </row>
    <row r="355" spans="1:4" x14ac:dyDescent="0.35">
      <c r="A355" t="s">
        <v>14</v>
      </c>
      <c r="B355">
        <v>2003</v>
      </c>
      <c r="C355" t="s">
        <v>4</v>
      </c>
      <c r="D355" s="1">
        <v>6302.827770186942</v>
      </c>
    </row>
    <row r="356" spans="1:4" x14ac:dyDescent="0.35">
      <c r="A356" t="s">
        <v>14</v>
      </c>
      <c r="B356">
        <v>2004</v>
      </c>
      <c r="C356" t="s">
        <v>4</v>
      </c>
      <c r="D356" s="1">
        <v>6438.6293201135486</v>
      </c>
    </row>
    <row r="357" spans="1:4" x14ac:dyDescent="0.35">
      <c r="A357" t="s">
        <v>14</v>
      </c>
      <c r="B357">
        <v>2005</v>
      </c>
      <c r="C357" t="s">
        <v>4</v>
      </c>
      <c r="D357" s="1">
        <v>6667.6473041411664</v>
      </c>
    </row>
    <row r="358" spans="1:4" x14ac:dyDescent="0.35">
      <c r="A358" t="s">
        <v>14</v>
      </c>
      <c r="B358">
        <v>2006</v>
      </c>
      <c r="C358" t="s">
        <v>4</v>
      </c>
      <c r="D358" s="1">
        <v>7029.7640466922176</v>
      </c>
    </row>
    <row r="359" spans="1:4" x14ac:dyDescent="0.35">
      <c r="A359" t="s">
        <v>14</v>
      </c>
      <c r="B359">
        <v>2007</v>
      </c>
      <c r="C359" t="s">
        <v>4</v>
      </c>
      <c r="D359" s="1">
        <v>7208.6784601372901</v>
      </c>
    </row>
    <row r="360" spans="1:4" x14ac:dyDescent="0.35">
      <c r="A360" t="s">
        <v>14</v>
      </c>
      <c r="B360">
        <v>2008</v>
      </c>
      <c r="C360" t="s">
        <v>4</v>
      </c>
      <c r="D360" s="1">
        <v>7403.1319303530499</v>
      </c>
    </row>
    <row r="361" spans="1:4" x14ac:dyDescent="0.35">
      <c r="A361" t="s">
        <v>14</v>
      </c>
      <c r="B361">
        <v>2009</v>
      </c>
      <c r="C361" t="s">
        <v>4</v>
      </c>
      <c r="D361" s="1">
        <v>7772.6582354763359</v>
      </c>
    </row>
    <row r="362" spans="1:4" x14ac:dyDescent="0.35">
      <c r="A362" t="s">
        <v>14</v>
      </c>
      <c r="B362">
        <v>2010</v>
      </c>
      <c r="C362" t="s">
        <v>4</v>
      </c>
      <c r="D362" s="1">
        <v>8427.9012606941924</v>
      </c>
    </row>
    <row r="363" spans="1:4" x14ac:dyDescent="0.35">
      <c r="A363" t="s">
        <v>14</v>
      </c>
      <c r="B363">
        <v>2011</v>
      </c>
      <c r="C363" t="s">
        <v>4</v>
      </c>
      <c r="D363" s="1">
        <v>9363.8698927359164</v>
      </c>
    </row>
    <row r="364" spans="1:4" x14ac:dyDescent="0.35">
      <c r="A364" t="s">
        <v>14</v>
      </c>
      <c r="B364">
        <v>2012</v>
      </c>
      <c r="C364" t="s">
        <v>4</v>
      </c>
      <c r="D364" s="1">
        <v>10145.08164350082</v>
      </c>
    </row>
    <row r="365" spans="1:4" x14ac:dyDescent="0.35">
      <c r="A365" t="s">
        <v>14</v>
      </c>
      <c r="B365">
        <v>2013</v>
      </c>
      <c r="C365" t="s">
        <v>4</v>
      </c>
      <c r="D365" s="1">
        <v>10228.402415369043</v>
      </c>
    </row>
    <row r="366" spans="1:4" x14ac:dyDescent="0.35">
      <c r="A366" t="s">
        <v>14</v>
      </c>
      <c r="B366">
        <v>2014</v>
      </c>
      <c r="C366" t="s">
        <v>4</v>
      </c>
      <c r="D366" s="1">
        <v>10511.142902902637</v>
      </c>
    </row>
    <row r="367" spans="1:4" x14ac:dyDescent="0.35">
      <c r="A367" t="s">
        <v>14</v>
      </c>
      <c r="B367">
        <v>2015</v>
      </c>
      <c r="C367" t="s">
        <v>4</v>
      </c>
      <c r="D367" s="1">
        <v>10503.533547717536</v>
      </c>
    </row>
    <row r="368" spans="1:4" x14ac:dyDescent="0.35">
      <c r="A368" t="s">
        <v>14</v>
      </c>
      <c r="B368">
        <v>2016</v>
      </c>
      <c r="C368" t="s">
        <v>4</v>
      </c>
      <c r="D368" s="1">
        <v>10880.743145307553</v>
      </c>
    </row>
    <row r="369" spans="1:4" x14ac:dyDescent="0.35">
      <c r="A369" t="s">
        <v>14</v>
      </c>
      <c r="B369">
        <v>2017</v>
      </c>
      <c r="C369" t="s">
        <v>4</v>
      </c>
      <c r="D369" s="1">
        <v>10903.684025637889</v>
      </c>
    </row>
    <row r="370" spans="1:4" x14ac:dyDescent="0.35">
      <c r="A370" t="s">
        <v>14</v>
      </c>
      <c r="B370">
        <v>2018</v>
      </c>
      <c r="C370" t="s">
        <v>4</v>
      </c>
      <c r="D370" s="1">
        <v>11013.145283373586</v>
      </c>
    </row>
    <row r="371" spans="1:4" x14ac:dyDescent="0.35">
      <c r="A371" t="s">
        <v>14</v>
      </c>
      <c r="B371">
        <v>2019</v>
      </c>
      <c r="C371" t="s">
        <v>4</v>
      </c>
      <c r="D371" s="1">
        <v>11367.813710719565</v>
      </c>
    </row>
    <row r="372" spans="1:4" x14ac:dyDescent="0.35">
      <c r="A372" t="s">
        <v>14</v>
      </c>
      <c r="B372">
        <v>2020</v>
      </c>
      <c r="C372" t="s">
        <v>4</v>
      </c>
      <c r="D372" s="1">
        <v>13066.92902797305</v>
      </c>
    </row>
    <row r="373" spans="1:4" x14ac:dyDescent="0.35">
      <c r="A373" t="s">
        <v>14</v>
      </c>
      <c r="B373">
        <v>2021</v>
      </c>
      <c r="C373" t="s">
        <v>4</v>
      </c>
      <c r="D373" s="1">
        <v>13815.935473297288</v>
      </c>
    </row>
    <row r="374" spans="1:4" x14ac:dyDescent="0.35">
      <c r="A374" t="s">
        <v>14</v>
      </c>
      <c r="B374">
        <v>2022</v>
      </c>
      <c r="C374" t="s">
        <v>4</v>
      </c>
      <c r="D374" s="1">
        <v>13996.205504106301</v>
      </c>
    </row>
    <row r="375" spans="1:4" x14ac:dyDescent="0.35">
      <c r="A375" t="s">
        <v>14</v>
      </c>
      <c r="B375">
        <v>2023</v>
      </c>
      <c r="C375" t="s">
        <v>4</v>
      </c>
      <c r="D375" s="1">
        <v>16087.613025235309</v>
      </c>
    </row>
    <row r="376" spans="1:4" x14ac:dyDescent="0.35">
      <c r="A376" t="s">
        <v>15</v>
      </c>
      <c r="B376">
        <v>1990</v>
      </c>
      <c r="C376" t="s">
        <v>4</v>
      </c>
      <c r="D376" s="1">
        <v>40753.434090559575</v>
      </c>
    </row>
    <row r="377" spans="1:4" x14ac:dyDescent="0.35">
      <c r="A377" t="s">
        <v>15</v>
      </c>
      <c r="B377">
        <v>1991</v>
      </c>
      <c r="C377" t="s">
        <v>4</v>
      </c>
      <c r="D377" s="1">
        <v>41098.98370597553</v>
      </c>
    </row>
    <row r="378" spans="1:4" x14ac:dyDescent="0.35">
      <c r="A378" t="s">
        <v>15</v>
      </c>
      <c r="B378">
        <v>1992</v>
      </c>
      <c r="C378" t="s">
        <v>4</v>
      </c>
      <c r="D378" s="1">
        <v>42641.793159271794</v>
      </c>
    </row>
    <row r="379" spans="1:4" x14ac:dyDescent="0.35">
      <c r="A379" t="s">
        <v>15</v>
      </c>
      <c r="B379">
        <v>1993</v>
      </c>
      <c r="C379" t="s">
        <v>4</v>
      </c>
      <c r="D379" s="1">
        <v>42992.937091499189</v>
      </c>
    </row>
    <row r="380" spans="1:4" x14ac:dyDescent="0.35">
      <c r="A380" t="s">
        <v>15</v>
      </c>
      <c r="B380">
        <v>1994</v>
      </c>
      <c r="C380" t="s">
        <v>4</v>
      </c>
      <c r="D380" s="1">
        <v>42894.625264547765</v>
      </c>
    </row>
    <row r="381" spans="1:4" x14ac:dyDescent="0.35">
      <c r="A381" t="s">
        <v>15</v>
      </c>
      <c r="B381">
        <v>1995</v>
      </c>
      <c r="C381" t="s">
        <v>4</v>
      </c>
      <c r="D381" s="1">
        <v>43702.407309928742</v>
      </c>
    </row>
    <row r="382" spans="1:4" x14ac:dyDescent="0.35">
      <c r="A382" t="s">
        <v>15</v>
      </c>
      <c r="B382">
        <v>1996</v>
      </c>
      <c r="C382" t="s">
        <v>4</v>
      </c>
      <c r="D382" s="1">
        <v>46154.816654257709</v>
      </c>
    </row>
    <row r="383" spans="1:4" x14ac:dyDescent="0.35">
      <c r="A383" t="s">
        <v>15</v>
      </c>
      <c r="B383">
        <v>1997</v>
      </c>
      <c r="C383" t="s">
        <v>4</v>
      </c>
      <c r="D383" s="1">
        <v>53117.236758327679</v>
      </c>
    </row>
    <row r="384" spans="1:4" x14ac:dyDescent="0.35">
      <c r="A384" t="s">
        <v>15</v>
      </c>
      <c r="B384">
        <v>1998</v>
      </c>
      <c r="C384" t="s">
        <v>4</v>
      </c>
      <c r="D384" s="1">
        <v>58157.753517645186</v>
      </c>
    </row>
    <row r="385" spans="1:4" x14ac:dyDescent="0.35">
      <c r="A385" t="s">
        <v>15</v>
      </c>
      <c r="B385">
        <v>1999</v>
      </c>
      <c r="C385" t="s">
        <v>4</v>
      </c>
      <c r="D385" s="1">
        <v>60256.620425163135</v>
      </c>
    </row>
    <row r="386" spans="1:4" x14ac:dyDescent="0.35">
      <c r="A386" t="s">
        <v>15</v>
      </c>
      <c r="B386">
        <v>2000</v>
      </c>
      <c r="C386" t="s">
        <v>4</v>
      </c>
      <c r="D386" s="1">
        <v>60699.888715157213</v>
      </c>
    </row>
    <row r="387" spans="1:4" x14ac:dyDescent="0.35">
      <c r="A387" t="s">
        <v>15</v>
      </c>
      <c r="B387">
        <v>2001</v>
      </c>
      <c r="C387" t="s">
        <v>4</v>
      </c>
      <c r="D387" s="1">
        <v>65689.667278392168</v>
      </c>
    </row>
    <row r="388" spans="1:4" x14ac:dyDescent="0.35">
      <c r="A388" t="s">
        <v>15</v>
      </c>
      <c r="B388">
        <v>2002</v>
      </c>
      <c r="C388" t="s">
        <v>4</v>
      </c>
      <c r="D388" s="1">
        <v>65947.90220376075</v>
      </c>
    </row>
    <row r="389" spans="1:4" x14ac:dyDescent="0.35">
      <c r="A389" t="s">
        <v>15</v>
      </c>
      <c r="B389">
        <v>2003</v>
      </c>
      <c r="C389" t="s">
        <v>4</v>
      </c>
      <c r="D389" s="1">
        <v>69259.767633792901</v>
      </c>
    </row>
    <row r="390" spans="1:4" x14ac:dyDescent="0.35">
      <c r="A390" t="s">
        <v>15</v>
      </c>
      <c r="B390">
        <v>2004</v>
      </c>
      <c r="C390" t="s">
        <v>4</v>
      </c>
      <c r="D390" s="1">
        <v>73341.770604549602</v>
      </c>
    </row>
    <row r="391" spans="1:4" x14ac:dyDescent="0.35">
      <c r="A391" t="s">
        <v>15</v>
      </c>
      <c r="B391">
        <v>2005</v>
      </c>
      <c r="C391" t="s">
        <v>4</v>
      </c>
      <c r="D391" s="1">
        <v>75351.477294125551</v>
      </c>
    </row>
    <row r="392" spans="1:4" x14ac:dyDescent="0.35">
      <c r="A392" t="s">
        <v>15</v>
      </c>
      <c r="B392">
        <v>2006</v>
      </c>
      <c r="C392" t="s">
        <v>4</v>
      </c>
      <c r="D392" s="1">
        <v>76513.204906169864</v>
      </c>
    </row>
    <row r="393" spans="1:4" x14ac:dyDescent="0.35">
      <c r="A393" t="s">
        <v>15</v>
      </c>
      <c r="B393">
        <v>2007</v>
      </c>
      <c r="C393" t="s">
        <v>4</v>
      </c>
      <c r="D393" s="1">
        <v>80609.369280550862</v>
      </c>
    </row>
    <row r="394" spans="1:4" x14ac:dyDescent="0.35">
      <c r="A394" t="s">
        <v>15</v>
      </c>
      <c r="B394">
        <v>2008</v>
      </c>
      <c r="C394" t="s">
        <v>4</v>
      </c>
      <c r="D394" s="1">
        <v>78522.372633133855</v>
      </c>
    </row>
    <row r="395" spans="1:4" x14ac:dyDescent="0.35">
      <c r="A395" t="s">
        <v>15</v>
      </c>
      <c r="B395">
        <v>2009</v>
      </c>
      <c r="C395" t="s">
        <v>4</v>
      </c>
      <c r="D395" s="1">
        <v>82223.843185749065</v>
      </c>
    </row>
    <row r="396" spans="1:4" x14ac:dyDescent="0.35">
      <c r="A396" t="s">
        <v>15</v>
      </c>
      <c r="B396">
        <v>2010</v>
      </c>
      <c r="C396" t="s">
        <v>4</v>
      </c>
      <c r="D396" s="1">
        <v>88376.557969125948</v>
      </c>
    </row>
    <row r="397" spans="1:4" x14ac:dyDescent="0.35">
      <c r="A397" t="s">
        <v>15</v>
      </c>
      <c r="B397">
        <v>2011</v>
      </c>
      <c r="C397" t="s">
        <v>4</v>
      </c>
      <c r="D397" s="1">
        <v>83705.011971348111</v>
      </c>
    </row>
    <row r="398" spans="1:4" x14ac:dyDescent="0.35">
      <c r="A398" t="s">
        <v>15</v>
      </c>
      <c r="B398">
        <v>2012</v>
      </c>
      <c r="C398" t="s">
        <v>4</v>
      </c>
      <c r="D398" s="1">
        <v>87442.65741509269</v>
      </c>
    </row>
    <row r="399" spans="1:4" x14ac:dyDescent="0.35">
      <c r="A399" t="s">
        <v>15</v>
      </c>
      <c r="B399">
        <v>2013</v>
      </c>
      <c r="C399" t="s">
        <v>4</v>
      </c>
      <c r="D399" s="1">
        <v>91509.582459940706</v>
      </c>
    </row>
    <row r="400" spans="1:4" x14ac:dyDescent="0.35">
      <c r="A400" t="s">
        <v>15</v>
      </c>
      <c r="B400">
        <v>2014</v>
      </c>
      <c r="C400" t="s">
        <v>4</v>
      </c>
      <c r="D400" s="1">
        <v>95359.648372649186</v>
      </c>
    </row>
    <row r="401" spans="1:4" x14ac:dyDescent="0.35">
      <c r="A401" t="s">
        <v>15</v>
      </c>
      <c r="B401">
        <v>2015</v>
      </c>
      <c r="C401" t="s">
        <v>4</v>
      </c>
      <c r="D401" s="1">
        <v>98110.389753233918</v>
      </c>
    </row>
    <row r="402" spans="1:4" x14ac:dyDescent="0.35">
      <c r="A402" t="s">
        <v>15</v>
      </c>
      <c r="B402">
        <v>2016</v>
      </c>
      <c r="C402" t="s">
        <v>4</v>
      </c>
      <c r="D402" s="1">
        <v>100442.45433904321</v>
      </c>
    </row>
    <row r="403" spans="1:4" x14ac:dyDescent="0.35">
      <c r="A403" t="s">
        <v>15</v>
      </c>
      <c r="B403">
        <v>2017</v>
      </c>
      <c r="C403" t="s">
        <v>4</v>
      </c>
      <c r="D403" s="1">
        <v>101462.87631455294</v>
      </c>
    </row>
    <row r="404" spans="1:4" x14ac:dyDescent="0.35">
      <c r="A404" t="s">
        <v>15</v>
      </c>
      <c r="B404">
        <v>2018</v>
      </c>
      <c r="C404" t="s">
        <v>4</v>
      </c>
      <c r="D404" s="1">
        <v>95480.845349739946</v>
      </c>
    </row>
    <row r="405" spans="1:4" x14ac:dyDescent="0.35">
      <c r="A405" t="s">
        <v>15</v>
      </c>
      <c r="B405">
        <v>2019</v>
      </c>
      <c r="C405" t="s">
        <v>4</v>
      </c>
      <c r="D405" s="1">
        <v>93812.567576074609</v>
      </c>
    </row>
    <row r="406" spans="1:4" x14ac:dyDescent="0.35">
      <c r="A406" t="s">
        <v>15</v>
      </c>
      <c r="B406">
        <v>2020</v>
      </c>
      <c r="C406" t="s">
        <v>4</v>
      </c>
      <c r="D406" s="1">
        <v>92330.576140994788</v>
      </c>
    </row>
    <row r="407" spans="1:4" x14ac:dyDescent="0.35">
      <c r="A407" t="s">
        <v>15</v>
      </c>
      <c r="B407">
        <v>2021</v>
      </c>
      <c r="C407" t="s">
        <v>4</v>
      </c>
      <c r="D407" s="1">
        <v>93834.47482641149</v>
      </c>
    </row>
    <row r="408" spans="1:4" x14ac:dyDescent="0.35">
      <c r="A408" t="s">
        <v>15</v>
      </c>
      <c r="B408">
        <v>2022</v>
      </c>
      <c r="C408" t="s">
        <v>4</v>
      </c>
      <c r="D408" s="1">
        <v>101337.21809917052</v>
      </c>
    </row>
    <row r="409" spans="1:4" x14ac:dyDescent="0.35">
      <c r="A409" t="s">
        <v>15</v>
      </c>
      <c r="B409">
        <v>2023</v>
      </c>
      <c r="C409" t="s">
        <v>4</v>
      </c>
      <c r="D409" s="1">
        <v>100633.52890651718</v>
      </c>
    </row>
    <row r="410" spans="1:4" x14ac:dyDescent="0.35">
      <c r="A410" t="s">
        <v>16</v>
      </c>
      <c r="B410">
        <v>1990</v>
      </c>
      <c r="C410" t="s">
        <v>4</v>
      </c>
      <c r="D410" s="1">
        <v>11234.997578071287</v>
      </c>
    </row>
    <row r="411" spans="1:4" x14ac:dyDescent="0.35">
      <c r="A411" t="s">
        <v>16</v>
      </c>
      <c r="B411">
        <v>1991</v>
      </c>
      <c r="C411" t="s">
        <v>4</v>
      </c>
      <c r="D411" s="1">
        <v>11255.884093246515</v>
      </c>
    </row>
    <row r="412" spans="1:4" x14ac:dyDescent="0.35">
      <c r="A412" t="s">
        <v>16</v>
      </c>
      <c r="B412">
        <v>1992</v>
      </c>
      <c r="C412" t="s">
        <v>4</v>
      </c>
      <c r="D412" s="1">
        <v>11420.650902034868</v>
      </c>
    </row>
    <row r="413" spans="1:4" x14ac:dyDescent="0.35">
      <c r="A413" t="s">
        <v>16</v>
      </c>
      <c r="B413">
        <v>1993</v>
      </c>
      <c r="C413" t="s">
        <v>4</v>
      </c>
      <c r="D413" s="1">
        <v>12102.487517821319</v>
      </c>
    </row>
    <row r="414" spans="1:4" x14ac:dyDescent="0.35">
      <c r="A414" t="s">
        <v>16</v>
      </c>
      <c r="B414">
        <v>1994</v>
      </c>
      <c r="C414" t="s">
        <v>4</v>
      </c>
      <c r="D414" s="1">
        <v>12809.977326980044</v>
      </c>
    </row>
    <row r="415" spans="1:4" x14ac:dyDescent="0.35">
      <c r="A415" t="s">
        <v>16</v>
      </c>
      <c r="B415">
        <v>1995</v>
      </c>
      <c r="C415" t="s">
        <v>4</v>
      </c>
      <c r="D415" s="1">
        <v>13443.419220233753</v>
      </c>
    </row>
    <row r="416" spans="1:4" x14ac:dyDescent="0.35">
      <c r="A416" t="s">
        <v>16</v>
      </c>
      <c r="B416">
        <v>1996</v>
      </c>
      <c r="C416" t="s">
        <v>4</v>
      </c>
      <c r="D416" s="1">
        <v>14708.052295787287</v>
      </c>
    </row>
    <row r="417" spans="1:4" x14ac:dyDescent="0.35">
      <c r="A417" t="s">
        <v>16</v>
      </c>
      <c r="B417">
        <v>1997</v>
      </c>
      <c r="C417" t="s">
        <v>4</v>
      </c>
      <c r="D417" s="1">
        <v>16870.77656649346</v>
      </c>
    </row>
    <row r="418" spans="1:4" x14ac:dyDescent="0.35">
      <c r="A418" t="s">
        <v>16</v>
      </c>
      <c r="B418">
        <v>1998</v>
      </c>
      <c r="C418" t="s">
        <v>4</v>
      </c>
      <c r="D418" s="1">
        <v>18981.026124215612</v>
      </c>
    </row>
    <row r="419" spans="1:4" x14ac:dyDescent="0.35">
      <c r="A419" t="s">
        <v>16</v>
      </c>
      <c r="B419">
        <v>1999</v>
      </c>
      <c r="C419" t="s">
        <v>4</v>
      </c>
      <c r="D419" s="1">
        <v>20361.427164610501</v>
      </c>
    </row>
    <row r="420" spans="1:4" x14ac:dyDescent="0.35">
      <c r="A420" t="s">
        <v>16</v>
      </c>
      <c r="B420">
        <v>2000</v>
      </c>
      <c r="C420" t="s">
        <v>4</v>
      </c>
      <c r="D420" s="1">
        <v>21670.493854097997</v>
      </c>
    </row>
    <row r="421" spans="1:4" x14ac:dyDescent="0.35">
      <c r="A421" t="s">
        <v>16</v>
      </c>
      <c r="B421">
        <v>2001</v>
      </c>
      <c r="C421" t="s">
        <v>4</v>
      </c>
      <c r="D421" s="1">
        <v>22698.924603664353</v>
      </c>
    </row>
    <row r="422" spans="1:4" x14ac:dyDescent="0.35">
      <c r="A422" t="s">
        <v>16</v>
      </c>
      <c r="B422">
        <v>2002</v>
      </c>
      <c r="C422" t="s">
        <v>4</v>
      </c>
      <c r="D422" s="1">
        <v>23419.950577391835</v>
      </c>
    </row>
    <row r="423" spans="1:4" x14ac:dyDescent="0.35">
      <c r="A423" t="s">
        <v>16</v>
      </c>
      <c r="B423">
        <v>2003</v>
      </c>
      <c r="C423" t="s">
        <v>4</v>
      </c>
      <c r="D423" s="1">
        <v>24868.682780991468</v>
      </c>
    </row>
    <row r="424" spans="1:4" x14ac:dyDescent="0.35">
      <c r="A424" t="s">
        <v>16</v>
      </c>
      <c r="B424">
        <v>2004</v>
      </c>
      <c r="C424" t="s">
        <v>4</v>
      </c>
      <c r="D424" s="1">
        <v>26264.835665403873</v>
      </c>
    </row>
    <row r="425" spans="1:4" x14ac:dyDescent="0.35">
      <c r="A425" t="s">
        <v>16</v>
      </c>
      <c r="B425">
        <v>2005</v>
      </c>
      <c r="C425" t="s">
        <v>4</v>
      </c>
      <c r="D425" s="1">
        <v>26851.213183951593</v>
      </c>
    </row>
    <row r="426" spans="1:4" x14ac:dyDescent="0.35">
      <c r="A426" t="s">
        <v>16</v>
      </c>
      <c r="B426">
        <v>2006</v>
      </c>
      <c r="C426" t="s">
        <v>4</v>
      </c>
      <c r="D426" s="1">
        <v>27236.826097922793</v>
      </c>
    </row>
    <row r="427" spans="1:4" x14ac:dyDescent="0.35">
      <c r="A427" t="s">
        <v>16</v>
      </c>
      <c r="B427">
        <v>2007</v>
      </c>
      <c r="C427" t="s">
        <v>4</v>
      </c>
      <c r="D427" s="1">
        <v>27794.892546792231</v>
      </c>
    </row>
    <row r="428" spans="1:4" x14ac:dyDescent="0.35">
      <c r="A428" t="s">
        <v>16</v>
      </c>
      <c r="B428">
        <v>2008</v>
      </c>
      <c r="C428" t="s">
        <v>4</v>
      </c>
      <c r="D428" s="1">
        <v>29310.315192440892</v>
      </c>
    </row>
    <row r="429" spans="1:4" x14ac:dyDescent="0.35">
      <c r="A429" t="s">
        <v>16</v>
      </c>
      <c r="B429">
        <v>2009</v>
      </c>
      <c r="C429" t="s">
        <v>4</v>
      </c>
      <c r="D429" s="1">
        <v>31112.707607503864</v>
      </c>
    </row>
    <row r="430" spans="1:4" x14ac:dyDescent="0.35">
      <c r="A430" t="s">
        <v>16</v>
      </c>
      <c r="B430">
        <v>2010</v>
      </c>
      <c r="C430" t="s">
        <v>4</v>
      </c>
      <c r="D430" s="1">
        <v>32644.304141345219</v>
      </c>
    </row>
    <row r="431" spans="1:4" x14ac:dyDescent="0.35">
      <c r="A431" t="s">
        <v>16</v>
      </c>
      <c r="B431">
        <v>2011</v>
      </c>
      <c r="C431" t="s">
        <v>4</v>
      </c>
      <c r="D431" s="1">
        <v>33394.981989979482</v>
      </c>
    </row>
    <row r="432" spans="1:4" x14ac:dyDescent="0.35">
      <c r="A432" t="s">
        <v>16</v>
      </c>
      <c r="B432">
        <v>2012</v>
      </c>
      <c r="C432" t="s">
        <v>4</v>
      </c>
      <c r="D432" s="1">
        <v>34403.294530039399</v>
      </c>
    </row>
    <row r="433" spans="1:4" x14ac:dyDescent="0.35">
      <c r="A433" t="s">
        <v>16</v>
      </c>
      <c r="B433">
        <v>2013</v>
      </c>
      <c r="C433" t="s">
        <v>4</v>
      </c>
      <c r="D433" s="1">
        <v>35024.265185150529</v>
      </c>
    </row>
    <row r="434" spans="1:4" x14ac:dyDescent="0.35">
      <c r="A434" t="s">
        <v>16</v>
      </c>
      <c r="B434">
        <v>2014</v>
      </c>
      <c r="C434" t="s">
        <v>4</v>
      </c>
      <c r="D434" s="1">
        <v>36126.833209306555</v>
      </c>
    </row>
    <row r="435" spans="1:4" x14ac:dyDescent="0.35">
      <c r="A435" t="s">
        <v>16</v>
      </c>
      <c r="B435">
        <v>2015</v>
      </c>
      <c r="C435" t="s">
        <v>4</v>
      </c>
      <c r="D435" s="1">
        <v>37489.649754761849</v>
      </c>
    </row>
    <row r="436" spans="1:4" x14ac:dyDescent="0.35">
      <c r="A436" t="s">
        <v>16</v>
      </c>
      <c r="B436">
        <v>2016</v>
      </c>
      <c r="C436" t="s">
        <v>4</v>
      </c>
      <c r="D436" s="1">
        <v>39144.221654591682</v>
      </c>
    </row>
    <row r="437" spans="1:4" x14ac:dyDescent="0.35">
      <c r="A437" t="s">
        <v>16</v>
      </c>
      <c r="B437">
        <v>2017</v>
      </c>
      <c r="C437" t="s">
        <v>4</v>
      </c>
      <c r="D437" s="1">
        <v>40889.082591577113</v>
      </c>
    </row>
    <row r="438" spans="1:4" x14ac:dyDescent="0.35">
      <c r="A438" t="s">
        <v>16</v>
      </c>
      <c r="B438">
        <v>2018</v>
      </c>
      <c r="C438" t="s">
        <v>4</v>
      </c>
      <c r="D438" s="1">
        <v>42142.588069906138</v>
      </c>
    </row>
    <row r="439" spans="1:4" x14ac:dyDescent="0.35">
      <c r="A439" t="s">
        <v>16</v>
      </c>
      <c r="B439">
        <v>2019</v>
      </c>
      <c r="C439" t="s">
        <v>4</v>
      </c>
      <c r="D439" s="1">
        <v>45754.667242994125</v>
      </c>
    </row>
    <row r="440" spans="1:4" x14ac:dyDescent="0.35">
      <c r="A440" t="s">
        <v>16</v>
      </c>
      <c r="B440">
        <v>2020</v>
      </c>
      <c r="C440" t="s">
        <v>4</v>
      </c>
      <c r="D440" s="1">
        <v>47734.926981424986</v>
      </c>
    </row>
    <row r="441" spans="1:4" x14ac:dyDescent="0.35">
      <c r="A441" t="s">
        <v>16</v>
      </c>
      <c r="B441">
        <v>2021</v>
      </c>
      <c r="C441" t="s">
        <v>4</v>
      </c>
      <c r="D441" s="1">
        <v>48482.819663916496</v>
      </c>
    </row>
    <row r="442" spans="1:4" x14ac:dyDescent="0.35">
      <c r="A442" t="s">
        <v>16</v>
      </c>
      <c r="B442">
        <v>2022</v>
      </c>
      <c r="C442" t="s">
        <v>4</v>
      </c>
      <c r="D442" s="1">
        <v>52889.139847502331</v>
      </c>
    </row>
    <row r="443" spans="1:4" x14ac:dyDescent="0.35">
      <c r="A443" t="s">
        <v>16</v>
      </c>
      <c r="B443">
        <v>2023</v>
      </c>
      <c r="C443" t="s">
        <v>4</v>
      </c>
      <c r="D443" s="1">
        <v>57711.874696311381</v>
      </c>
    </row>
    <row r="444" spans="1:4" x14ac:dyDescent="0.35">
      <c r="A444" t="s">
        <v>17</v>
      </c>
      <c r="B444">
        <v>1990</v>
      </c>
      <c r="C444" t="s">
        <v>4</v>
      </c>
      <c r="D444" s="1">
        <v>39012.168523886467</v>
      </c>
    </row>
    <row r="445" spans="1:4" x14ac:dyDescent="0.35">
      <c r="A445" t="s">
        <v>17</v>
      </c>
      <c r="B445">
        <v>1991</v>
      </c>
      <c r="C445" t="s">
        <v>4</v>
      </c>
      <c r="D445" s="1">
        <v>41437.662649635749</v>
      </c>
    </row>
    <row r="446" spans="1:4" x14ac:dyDescent="0.35">
      <c r="A446" t="s">
        <v>17</v>
      </c>
      <c r="B446">
        <v>1992</v>
      </c>
      <c r="C446" t="s">
        <v>4</v>
      </c>
      <c r="D446" s="1">
        <v>43440.61797439443</v>
      </c>
    </row>
    <row r="447" spans="1:4" x14ac:dyDescent="0.35">
      <c r="A447" t="s">
        <v>17</v>
      </c>
      <c r="B447">
        <v>1993</v>
      </c>
      <c r="C447" t="s">
        <v>4</v>
      </c>
      <c r="D447" s="1">
        <v>45548.820660251513</v>
      </c>
    </row>
    <row r="448" spans="1:4" x14ac:dyDescent="0.35">
      <c r="A448" t="s">
        <v>17</v>
      </c>
      <c r="B448">
        <v>1994</v>
      </c>
      <c r="C448" t="s">
        <v>4</v>
      </c>
      <c r="D448" s="1">
        <v>47511.296461487349</v>
      </c>
    </row>
    <row r="449" spans="1:4" x14ac:dyDescent="0.35">
      <c r="A449" t="s">
        <v>17</v>
      </c>
      <c r="B449">
        <v>1995</v>
      </c>
      <c r="C449" t="s">
        <v>4</v>
      </c>
      <c r="D449" s="1">
        <v>49362.863596651216</v>
      </c>
    </row>
    <row r="450" spans="1:4" x14ac:dyDescent="0.35">
      <c r="A450" t="s">
        <v>17</v>
      </c>
      <c r="B450">
        <v>1996</v>
      </c>
      <c r="C450" t="s">
        <v>4</v>
      </c>
      <c r="D450" s="1">
        <v>52044.198593906694</v>
      </c>
    </row>
    <row r="451" spans="1:4" x14ac:dyDescent="0.35">
      <c r="A451" t="s">
        <v>17</v>
      </c>
      <c r="B451">
        <v>1997</v>
      </c>
      <c r="C451" t="s">
        <v>4</v>
      </c>
      <c r="D451" s="1">
        <v>54987.207609397163</v>
      </c>
    </row>
    <row r="452" spans="1:4" x14ac:dyDescent="0.35">
      <c r="A452" t="s">
        <v>17</v>
      </c>
      <c r="B452">
        <v>1998</v>
      </c>
      <c r="C452" t="s">
        <v>4</v>
      </c>
      <c r="D452" s="1">
        <v>57394.913095337797</v>
      </c>
    </row>
    <row r="453" spans="1:4" x14ac:dyDescent="0.35">
      <c r="A453" t="s">
        <v>17</v>
      </c>
      <c r="B453">
        <v>1999</v>
      </c>
      <c r="C453" t="s">
        <v>4</v>
      </c>
      <c r="D453" s="1">
        <v>60722.659139978379</v>
      </c>
    </row>
    <row r="454" spans="1:4" x14ac:dyDescent="0.35">
      <c r="A454" t="s">
        <v>17</v>
      </c>
      <c r="B454">
        <v>2000</v>
      </c>
      <c r="C454" t="s">
        <v>4</v>
      </c>
      <c r="D454" s="1">
        <v>62616.800340927584</v>
      </c>
    </row>
    <row r="455" spans="1:4" x14ac:dyDescent="0.35">
      <c r="A455" t="s">
        <v>17</v>
      </c>
      <c r="B455">
        <v>2001</v>
      </c>
      <c r="C455" t="s">
        <v>4</v>
      </c>
      <c r="D455" s="1">
        <v>65045.740460408531</v>
      </c>
    </row>
    <row r="456" spans="1:4" x14ac:dyDescent="0.35">
      <c r="A456" t="s">
        <v>17</v>
      </c>
      <c r="B456">
        <v>2002</v>
      </c>
      <c r="C456" t="s">
        <v>4</v>
      </c>
      <c r="D456" s="1">
        <v>67827.033212695227</v>
      </c>
    </row>
    <row r="457" spans="1:4" x14ac:dyDescent="0.35">
      <c r="A457" t="s">
        <v>17</v>
      </c>
      <c r="B457">
        <v>2003</v>
      </c>
      <c r="C457" t="s">
        <v>4</v>
      </c>
      <c r="D457" s="1">
        <v>70682.718394619151</v>
      </c>
    </row>
    <row r="458" spans="1:4" x14ac:dyDescent="0.35">
      <c r="A458" t="s">
        <v>17</v>
      </c>
      <c r="B458">
        <v>2004</v>
      </c>
      <c r="C458" t="s">
        <v>4</v>
      </c>
      <c r="D458" s="1">
        <v>73869.986732097575</v>
      </c>
    </row>
    <row r="459" spans="1:4" x14ac:dyDescent="0.35">
      <c r="A459" t="s">
        <v>17</v>
      </c>
      <c r="B459">
        <v>2005</v>
      </c>
      <c r="C459" t="s">
        <v>4</v>
      </c>
      <c r="D459" s="1">
        <v>77318.230008207072</v>
      </c>
    </row>
    <row r="460" spans="1:4" x14ac:dyDescent="0.35">
      <c r="A460" t="s">
        <v>17</v>
      </c>
      <c r="B460">
        <v>2006</v>
      </c>
      <c r="C460" t="s">
        <v>4</v>
      </c>
      <c r="D460" s="1">
        <v>80437.040501386742</v>
      </c>
    </row>
    <row r="461" spans="1:4" x14ac:dyDescent="0.35">
      <c r="A461" t="s">
        <v>17</v>
      </c>
      <c r="B461">
        <v>2007</v>
      </c>
      <c r="C461" t="s">
        <v>4</v>
      </c>
      <c r="D461" s="1">
        <v>83891.749894016728</v>
      </c>
    </row>
    <row r="462" spans="1:4" x14ac:dyDescent="0.35">
      <c r="A462" t="s">
        <v>17</v>
      </c>
      <c r="B462">
        <v>2008</v>
      </c>
      <c r="C462" t="s">
        <v>4</v>
      </c>
      <c r="D462" s="1">
        <v>87340.828162231555</v>
      </c>
    </row>
    <row r="463" spans="1:4" x14ac:dyDescent="0.35">
      <c r="A463" t="s">
        <v>17</v>
      </c>
      <c r="B463">
        <v>2009</v>
      </c>
      <c r="C463" t="s">
        <v>4</v>
      </c>
      <c r="D463" s="1">
        <v>89026.706299065016</v>
      </c>
    </row>
    <row r="464" spans="1:4" x14ac:dyDescent="0.35">
      <c r="A464" t="s">
        <v>17</v>
      </c>
      <c r="B464">
        <v>2010</v>
      </c>
      <c r="C464" t="s">
        <v>4</v>
      </c>
      <c r="D464" s="1">
        <v>91753.000496876964</v>
      </c>
    </row>
    <row r="465" spans="1:4" x14ac:dyDescent="0.35">
      <c r="A465" t="s">
        <v>17</v>
      </c>
      <c r="B465">
        <v>2011</v>
      </c>
      <c r="C465" t="s">
        <v>4</v>
      </c>
      <c r="D465" s="1">
        <v>92048.497593250853</v>
      </c>
    </row>
    <row r="466" spans="1:4" x14ac:dyDescent="0.35">
      <c r="A466" t="s">
        <v>17</v>
      </c>
      <c r="B466">
        <v>2012</v>
      </c>
      <c r="C466" t="s">
        <v>4</v>
      </c>
      <c r="D466" s="1">
        <v>100747.49268118272</v>
      </c>
    </row>
    <row r="467" spans="1:4" x14ac:dyDescent="0.35">
      <c r="A467" t="s">
        <v>17</v>
      </c>
      <c r="B467">
        <v>2013</v>
      </c>
      <c r="C467" t="s">
        <v>4</v>
      </c>
      <c r="D467" s="1">
        <v>105321.60387783377</v>
      </c>
    </row>
    <row r="468" spans="1:4" x14ac:dyDescent="0.35">
      <c r="A468" t="s">
        <v>17</v>
      </c>
      <c r="B468">
        <v>2014</v>
      </c>
      <c r="C468" t="s">
        <v>4</v>
      </c>
      <c r="D468" s="1">
        <v>110899.89689523607</v>
      </c>
    </row>
    <row r="469" spans="1:4" x14ac:dyDescent="0.35">
      <c r="A469" t="s">
        <v>17</v>
      </c>
      <c r="B469">
        <v>2015</v>
      </c>
      <c r="C469" t="s">
        <v>4</v>
      </c>
      <c r="D469" s="1">
        <v>113942.68301210138</v>
      </c>
    </row>
    <row r="470" spans="1:4" x14ac:dyDescent="0.35">
      <c r="A470" t="s">
        <v>17</v>
      </c>
      <c r="B470">
        <v>2016</v>
      </c>
      <c r="C470" t="s">
        <v>4</v>
      </c>
      <c r="D470" s="1">
        <v>115130.2090542175</v>
      </c>
    </row>
    <row r="471" spans="1:4" x14ac:dyDescent="0.35">
      <c r="A471" t="s">
        <v>17</v>
      </c>
      <c r="B471">
        <v>2017</v>
      </c>
      <c r="C471" t="s">
        <v>4</v>
      </c>
      <c r="D471" s="1">
        <v>117646.94906848772</v>
      </c>
    </row>
    <row r="472" spans="1:4" x14ac:dyDescent="0.35">
      <c r="A472" t="s">
        <v>17</v>
      </c>
      <c r="B472">
        <v>2018</v>
      </c>
      <c r="C472" t="s">
        <v>4</v>
      </c>
      <c r="D472" s="1">
        <v>119076.46065070634</v>
      </c>
    </row>
    <row r="473" spans="1:4" x14ac:dyDescent="0.35">
      <c r="A473" t="s">
        <v>17</v>
      </c>
      <c r="B473">
        <v>2019</v>
      </c>
      <c r="C473" t="s">
        <v>4</v>
      </c>
      <c r="D473" s="1">
        <v>122058.72056432303</v>
      </c>
    </row>
    <row r="474" spans="1:4" x14ac:dyDescent="0.35">
      <c r="A474" t="s">
        <v>17</v>
      </c>
      <c r="B474">
        <v>2020</v>
      </c>
      <c r="C474" t="s">
        <v>4</v>
      </c>
      <c r="D474" s="1">
        <v>125983.45908228343</v>
      </c>
    </row>
    <row r="475" spans="1:4" x14ac:dyDescent="0.35">
      <c r="A475" t="s">
        <v>17</v>
      </c>
      <c r="B475">
        <v>2021</v>
      </c>
      <c r="C475" t="s">
        <v>4</v>
      </c>
      <c r="D475" s="1">
        <v>133172.8030675406</v>
      </c>
    </row>
    <row r="476" spans="1:4" x14ac:dyDescent="0.35">
      <c r="A476" t="s">
        <v>17</v>
      </c>
      <c r="B476">
        <v>2022</v>
      </c>
      <c r="C476" t="s">
        <v>4</v>
      </c>
      <c r="D476" s="1">
        <v>131162.2495672603</v>
      </c>
    </row>
    <row r="477" spans="1:4" x14ac:dyDescent="0.35">
      <c r="A477" t="s">
        <v>17</v>
      </c>
      <c r="B477">
        <v>2023</v>
      </c>
      <c r="C477" t="s">
        <v>4</v>
      </c>
      <c r="D477" s="1">
        <v>134105.46455300835</v>
      </c>
    </row>
    <row r="478" spans="1:4" x14ac:dyDescent="0.35">
      <c r="A478" t="s">
        <v>18</v>
      </c>
      <c r="B478">
        <v>1990</v>
      </c>
      <c r="C478" t="s">
        <v>4</v>
      </c>
      <c r="D478" s="1">
        <v>28692.398985034353</v>
      </c>
    </row>
    <row r="479" spans="1:4" x14ac:dyDescent="0.35">
      <c r="A479" t="s">
        <v>18</v>
      </c>
      <c r="B479">
        <v>1991</v>
      </c>
      <c r="C479" t="s">
        <v>4</v>
      </c>
      <c r="D479" s="1">
        <v>29152.498858431034</v>
      </c>
    </row>
    <row r="480" spans="1:4" x14ac:dyDescent="0.35">
      <c r="A480" t="s">
        <v>18</v>
      </c>
      <c r="B480">
        <v>1992</v>
      </c>
      <c r="C480" t="s">
        <v>4</v>
      </c>
      <c r="D480" s="1">
        <v>30299.401511166121</v>
      </c>
    </row>
    <row r="481" spans="1:4" x14ac:dyDescent="0.35">
      <c r="A481" t="s">
        <v>18</v>
      </c>
      <c r="B481">
        <v>1993</v>
      </c>
      <c r="C481" t="s">
        <v>4</v>
      </c>
      <c r="D481" s="1">
        <v>31796.992110893068</v>
      </c>
    </row>
    <row r="482" spans="1:4" x14ac:dyDescent="0.35">
      <c r="A482" t="s">
        <v>18</v>
      </c>
      <c r="B482">
        <v>1994</v>
      </c>
      <c r="C482" t="s">
        <v>4</v>
      </c>
      <c r="D482" s="1">
        <v>33265.568109938453</v>
      </c>
    </row>
    <row r="483" spans="1:4" x14ac:dyDescent="0.35">
      <c r="A483" t="s">
        <v>18</v>
      </c>
      <c r="B483">
        <v>1995</v>
      </c>
      <c r="C483" t="s">
        <v>4</v>
      </c>
      <c r="D483" s="1">
        <v>34741.322814006984</v>
      </c>
    </row>
    <row r="484" spans="1:4" x14ac:dyDescent="0.35">
      <c r="A484" t="s">
        <v>18</v>
      </c>
      <c r="B484">
        <v>1996</v>
      </c>
      <c r="C484" t="s">
        <v>4</v>
      </c>
      <c r="D484" s="1">
        <v>36073.546878283472</v>
      </c>
    </row>
    <row r="485" spans="1:4" x14ac:dyDescent="0.35">
      <c r="A485" t="s">
        <v>18</v>
      </c>
      <c r="B485">
        <v>1997</v>
      </c>
      <c r="C485" t="s">
        <v>4</v>
      </c>
      <c r="D485" s="1">
        <v>37898.336331138089</v>
      </c>
    </row>
    <row r="486" spans="1:4" x14ac:dyDescent="0.35">
      <c r="A486" t="s">
        <v>18</v>
      </c>
      <c r="B486">
        <v>1998</v>
      </c>
      <c r="C486" t="s">
        <v>4</v>
      </c>
      <c r="D486" s="1">
        <v>41737.744777332045</v>
      </c>
    </row>
    <row r="487" spans="1:4" x14ac:dyDescent="0.35">
      <c r="A487" t="s">
        <v>18</v>
      </c>
      <c r="B487">
        <v>1999</v>
      </c>
      <c r="C487" t="s">
        <v>4</v>
      </c>
      <c r="D487" s="1">
        <v>41047.739607892559</v>
      </c>
    </row>
    <row r="488" spans="1:4" x14ac:dyDescent="0.35">
      <c r="A488" t="s">
        <v>18</v>
      </c>
      <c r="B488">
        <v>2000</v>
      </c>
      <c r="C488" t="s">
        <v>4</v>
      </c>
      <c r="D488" s="1">
        <v>43574.095820391871</v>
      </c>
    </row>
    <row r="489" spans="1:4" x14ac:dyDescent="0.35">
      <c r="A489" t="s">
        <v>18</v>
      </c>
      <c r="B489">
        <v>2001</v>
      </c>
      <c r="C489" t="s">
        <v>4</v>
      </c>
      <c r="D489" s="1">
        <v>46603.628999139517</v>
      </c>
    </row>
    <row r="490" spans="1:4" x14ac:dyDescent="0.35">
      <c r="A490" t="s">
        <v>18</v>
      </c>
      <c r="B490">
        <v>2002</v>
      </c>
      <c r="C490" t="s">
        <v>4</v>
      </c>
      <c r="D490" s="1">
        <v>50141.07305116002</v>
      </c>
    </row>
    <row r="491" spans="1:4" x14ac:dyDescent="0.35">
      <c r="A491" t="s">
        <v>18</v>
      </c>
      <c r="B491">
        <v>2003</v>
      </c>
      <c r="C491" t="s">
        <v>4</v>
      </c>
      <c r="D491" s="1">
        <v>54011.958543792069</v>
      </c>
    </row>
    <row r="492" spans="1:4" x14ac:dyDescent="0.35">
      <c r="A492" t="s">
        <v>18</v>
      </c>
      <c r="B492">
        <v>2004</v>
      </c>
      <c r="C492" t="s">
        <v>4</v>
      </c>
      <c r="D492" s="1">
        <v>57430.476388279683</v>
      </c>
    </row>
    <row r="493" spans="1:4" x14ac:dyDescent="0.35">
      <c r="A493" t="s">
        <v>18</v>
      </c>
      <c r="B493">
        <v>2005</v>
      </c>
      <c r="C493" t="s">
        <v>4</v>
      </c>
      <c r="D493" s="1">
        <v>60352.881376741767</v>
      </c>
    </row>
    <row r="494" spans="1:4" x14ac:dyDescent="0.35">
      <c r="A494" t="s">
        <v>18</v>
      </c>
      <c r="B494">
        <v>2006</v>
      </c>
      <c r="C494" t="s">
        <v>4</v>
      </c>
      <c r="D494" s="1">
        <v>63765.72617095444</v>
      </c>
    </row>
    <row r="495" spans="1:4" x14ac:dyDescent="0.35">
      <c r="A495" t="s">
        <v>18</v>
      </c>
      <c r="B495">
        <v>2007</v>
      </c>
      <c r="C495" t="s">
        <v>4</v>
      </c>
      <c r="D495" s="1">
        <v>67012.130609467815</v>
      </c>
    </row>
    <row r="496" spans="1:4" x14ac:dyDescent="0.35">
      <c r="A496" t="s">
        <v>18</v>
      </c>
      <c r="B496">
        <v>2008</v>
      </c>
      <c r="C496" t="s">
        <v>4</v>
      </c>
      <c r="D496" s="1">
        <v>70758.280036130702</v>
      </c>
    </row>
    <row r="497" spans="1:4" x14ac:dyDescent="0.35">
      <c r="A497" t="s">
        <v>18</v>
      </c>
      <c r="B497">
        <v>2009</v>
      </c>
      <c r="C497" t="s">
        <v>4</v>
      </c>
      <c r="D497" s="1">
        <v>74536.295196130915</v>
      </c>
    </row>
    <row r="498" spans="1:4" x14ac:dyDescent="0.35">
      <c r="A498" t="s">
        <v>18</v>
      </c>
      <c r="B498">
        <v>2010</v>
      </c>
      <c r="C498" t="s">
        <v>4</v>
      </c>
      <c r="D498" s="1">
        <v>78254.426028561924</v>
      </c>
    </row>
    <row r="499" spans="1:4" x14ac:dyDescent="0.35">
      <c r="A499" t="s">
        <v>18</v>
      </c>
      <c r="B499">
        <v>2011</v>
      </c>
      <c r="C499" t="s">
        <v>4</v>
      </c>
      <c r="D499" s="1">
        <v>81716.716747669343</v>
      </c>
    </row>
    <row r="500" spans="1:4" x14ac:dyDescent="0.35">
      <c r="A500" t="s">
        <v>18</v>
      </c>
      <c r="B500">
        <v>2012</v>
      </c>
      <c r="C500" t="s">
        <v>4</v>
      </c>
      <c r="D500" s="1">
        <v>85691.395236910088</v>
      </c>
    </row>
    <row r="501" spans="1:4" x14ac:dyDescent="0.35">
      <c r="A501" t="s">
        <v>18</v>
      </c>
      <c r="B501">
        <v>2013</v>
      </c>
      <c r="C501" t="s">
        <v>4</v>
      </c>
      <c r="D501" s="1">
        <v>89356.311726297761</v>
      </c>
    </row>
    <row r="502" spans="1:4" x14ac:dyDescent="0.35">
      <c r="A502" t="s">
        <v>18</v>
      </c>
      <c r="B502">
        <v>2014</v>
      </c>
      <c r="C502" t="s">
        <v>4</v>
      </c>
      <c r="D502" s="1">
        <v>93064.491624338203</v>
      </c>
    </row>
    <row r="503" spans="1:4" x14ac:dyDescent="0.35">
      <c r="A503" t="s">
        <v>18</v>
      </c>
      <c r="B503">
        <v>2015</v>
      </c>
      <c r="C503" t="s">
        <v>4</v>
      </c>
      <c r="D503" s="1">
        <v>96878.926879888299</v>
      </c>
    </row>
    <row r="504" spans="1:4" x14ac:dyDescent="0.35">
      <c r="A504" t="s">
        <v>18</v>
      </c>
      <c r="B504">
        <v>2016</v>
      </c>
      <c r="C504" t="s">
        <v>4</v>
      </c>
      <c r="D504" s="1">
        <v>99536.255973594773</v>
      </c>
    </row>
    <row r="505" spans="1:4" x14ac:dyDescent="0.35">
      <c r="A505" t="s">
        <v>18</v>
      </c>
      <c r="B505">
        <v>2017</v>
      </c>
      <c r="C505" t="s">
        <v>4</v>
      </c>
      <c r="D505" s="1">
        <v>103510.85838417095</v>
      </c>
    </row>
    <row r="506" spans="1:4" x14ac:dyDescent="0.35">
      <c r="A506" t="s">
        <v>18</v>
      </c>
      <c r="B506">
        <v>2018</v>
      </c>
      <c r="C506" t="s">
        <v>4</v>
      </c>
      <c r="D506" s="1">
        <v>109574.72474823961</v>
      </c>
    </row>
    <row r="507" spans="1:4" x14ac:dyDescent="0.35">
      <c r="A507" t="s">
        <v>18</v>
      </c>
      <c r="B507">
        <v>2019</v>
      </c>
      <c r="C507" t="s">
        <v>4</v>
      </c>
      <c r="D507" s="1">
        <v>119288.14001651411</v>
      </c>
    </row>
    <row r="508" spans="1:4" x14ac:dyDescent="0.35">
      <c r="A508" t="s">
        <v>18</v>
      </c>
      <c r="B508">
        <v>2020</v>
      </c>
      <c r="C508" t="s">
        <v>4</v>
      </c>
      <c r="D508" s="1">
        <v>119698.24156661353</v>
      </c>
    </row>
    <row r="509" spans="1:4" x14ac:dyDescent="0.35">
      <c r="A509" t="s">
        <v>18</v>
      </c>
      <c r="B509">
        <v>2021</v>
      </c>
      <c r="C509" t="s">
        <v>4</v>
      </c>
      <c r="D509" s="1">
        <v>123492.71695148906</v>
      </c>
    </row>
    <row r="510" spans="1:4" x14ac:dyDescent="0.35">
      <c r="A510" t="s">
        <v>18</v>
      </c>
      <c r="B510">
        <v>2022</v>
      </c>
      <c r="C510" t="s">
        <v>4</v>
      </c>
      <c r="D510" s="1">
        <v>118224.57372658084</v>
      </c>
    </row>
    <row r="511" spans="1:4" x14ac:dyDescent="0.35">
      <c r="A511" t="s">
        <v>18</v>
      </c>
      <c r="B511">
        <v>2023</v>
      </c>
      <c r="C511" t="s">
        <v>4</v>
      </c>
      <c r="D511" s="1">
        <v>112683.59293982331</v>
      </c>
    </row>
    <row r="512" spans="1:4" x14ac:dyDescent="0.35">
      <c r="A512" t="s">
        <v>19</v>
      </c>
      <c r="B512">
        <v>1990</v>
      </c>
      <c r="C512" t="s">
        <v>4</v>
      </c>
      <c r="D512" s="1">
        <v>51675.95996045247</v>
      </c>
    </row>
    <row r="513" spans="1:4" x14ac:dyDescent="0.35">
      <c r="A513" t="s">
        <v>19</v>
      </c>
      <c r="B513">
        <v>1991</v>
      </c>
      <c r="C513" t="s">
        <v>4</v>
      </c>
      <c r="D513" s="1">
        <v>53477.534819934845</v>
      </c>
    </row>
    <row r="514" spans="1:4" x14ac:dyDescent="0.35">
      <c r="A514" t="s">
        <v>19</v>
      </c>
      <c r="B514">
        <v>1992</v>
      </c>
      <c r="C514" t="s">
        <v>4</v>
      </c>
      <c r="D514" s="1">
        <v>57134.056959843248</v>
      </c>
    </row>
    <row r="515" spans="1:4" x14ac:dyDescent="0.35">
      <c r="A515" t="s">
        <v>19</v>
      </c>
      <c r="B515">
        <v>1993</v>
      </c>
      <c r="C515" t="s">
        <v>4</v>
      </c>
      <c r="D515" s="1">
        <v>56729.422155485896</v>
      </c>
    </row>
    <row r="516" spans="1:4" x14ac:dyDescent="0.35">
      <c r="A516" t="s">
        <v>19</v>
      </c>
      <c r="B516">
        <v>1994</v>
      </c>
      <c r="C516" t="s">
        <v>4</v>
      </c>
      <c r="D516" s="1">
        <v>54314.725217571911</v>
      </c>
    </row>
    <row r="517" spans="1:4" x14ac:dyDescent="0.35">
      <c r="A517" t="s">
        <v>19</v>
      </c>
      <c r="B517">
        <v>1995</v>
      </c>
      <c r="C517" t="s">
        <v>4</v>
      </c>
      <c r="D517" s="1">
        <v>52794.042700143174</v>
      </c>
    </row>
    <row r="518" spans="1:4" x14ac:dyDescent="0.35">
      <c r="A518" t="s">
        <v>19</v>
      </c>
      <c r="B518">
        <v>1996</v>
      </c>
      <c r="C518" t="s">
        <v>4</v>
      </c>
      <c r="D518" s="1">
        <v>52768.280083734724</v>
      </c>
    </row>
    <row r="519" spans="1:4" x14ac:dyDescent="0.35">
      <c r="A519" t="s">
        <v>19</v>
      </c>
      <c r="B519">
        <v>1997</v>
      </c>
      <c r="C519" t="s">
        <v>4</v>
      </c>
      <c r="D519" s="1">
        <v>53223.711286564831</v>
      </c>
    </row>
    <row r="520" spans="1:4" x14ac:dyDescent="0.35">
      <c r="A520" t="s">
        <v>19</v>
      </c>
      <c r="B520">
        <v>1998</v>
      </c>
      <c r="C520" t="s">
        <v>4</v>
      </c>
      <c r="D520" s="1">
        <v>58146.033446952628</v>
      </c>
    </row>
    <row r="521" spans="1:4" x14ac:dyDescent="0.35">
      <c r="A521" t="s">
        <v>19</v>
      </c>
      <c r="B521">
        <v>1999</v>
      </c>
      <c r="C521" t="s">
        <v>4</v>
      </c>
      <c r="D521" s="1">
        <v>61872.297256260113</v>
      </c>
    </row>
    <row r="522" spans="1:4" x14ac:dyDescent="0.35">
      <c r="A522" t="s">
        <v>19</v>
      </c>
      <c r="B522">
        <v>2000</v>
      </c>
      <c r="C522" t="s">
        <v>4</v>
      </c>
      <c r="D522" s="1">
        <v>64494.282548302501</v>
      </c>
    </row>
    <row r="523" spans="1:4" x14ac:dyDescent="0.35">
      <c r="A523" t="s">
        <v>19</v>
      </c>
      <c r="B523">
        <v>2001</v>
      </c>
      <c r="C523" t="s">
        <v>4</v>
      </c>
      <c r="D523" s="1">
        <v>68618.565142090054</v>
      </c>
    </row>
    <row r="524" spans="1:4" x14ac:dyDescent="0.35">
      <c r="A524" t="s">
        <v>19</v>
      </c>
      <c r="B524">
        <v>2002</v>
      </c>
      <c r="C524" t="s">
        <v>4</v>
      </c>
      <c r="D524" s="1">
        <v>69195.646885018927</v>
      </c>
    </row>
    <row r="525" spans="1:4" x14ac:dyDescent="0.35">
      <c r="A525" t="s">
        <v>19</v>
      </c>
      <c r="B525">
        <v>2003</v>
      </c>
      <c r="C525" t="s">
        <v>4</v>
      </c>
      <c r="D525" s="1">
        <v>74788.413697388241</v>
      </c>
    </row>
    <row r="526" spans="1:4" x14ac:dyDescent="0.35">
      <c r="A526" t="s">
        <v>19</v>
      </c>
      <c r="B526">
        <v>2004</v>
      </c>
      <c r="C526" t="s">
        <v>4</v>
      </c>
      <c r="D526" s="1">
        <v>80406.101259101735</v>
      </c>
    </row>
    <row r="527" spans="1:4" x14ac:dyDescent="0.35">
      <c r="A527" t="s">
        <v>19</v>
      </c>
      <c r="B527">
        <v>2005</v>
      </c>
      <c r="C527" t="s">
        <v>4</v>
      </c>
      <c r="D527" s="1">
        <v>86959.579908044179</v>
      </c>
    </row>
    <row r="528" spans="1:4" x14ac:dyDescent="0.35">
      <c r="A528" t="s">
        <v>19</v>
      </c>
      <c r="B528">
        <v>2006</v>
      </c>
      <c r="C528" t="s">
        <v>4</v>
      </c>
      <c r="D528" s="1">
        <v>95102.490680901727</v>
      </c>
    </row>
    <row r="529" spans="1:4" x14ac:dyDescent="0.35">
      <c r="A529" t="s">
        <v>19</v>
      </c>
      <c r="B529">
        <v>2007</v>
      </c>
      <c r="C529" t="s">
        <v>4</v>
      </c>
      <c r="D529" s="1">
        <v>102128.07497047434</v>
      </c>
    </row>
    <row r="530" spans="1:4" x14ac:dyDescent="0.35">
      <c r="A530" t="s">
        <v>19</v>
      </c>
      <c r="B530">
        <v>2008</v>
      </c>
      <c r="C530" t="s">
        <v>4</v>
      </c>
      <c r="D530" s="1">
        <v>113891.24608825083</v>
      </c>
    </row>
    <row r="531" spans="1:4" x14ac:dyDescent="0.35">
      <c r="A531" t="s">
        <v>19</v>
      </c>
      <c r="B531">
        <v>2009</v>
      </c>
      <c r="C531" t="s">
        <v>4</v>
      </c>
      <c r="D531" s="1">
        <v>120900.74243217691</v>
      </c>
    </row>
    <row r="532" spans="1:4" x14ac:dyDescent="0.35">
      <c r="A532" t="s">
        <v>19</v>
      </c>
      <c r="B532">
        <v>2010</v>
      </c>
      <c r="C532" t="s">
        <v>4</v>
      </c>
      <c r="D532" s="1">
        <v>133890.03782456461</v>
      </c>
    </row>
    <row r="533" spans="1:4" x14ac:dyDescent="0.35">
      <c r="A533" t="s">
        <v>19</v>
      </c>
      <c r="B533">
        <v>2011</v>
      </c>
      <c r="C533" t="s">
        <v>4</v>
      </c>
      <c r="D533" s="1">
        <v>140990.65683236448</v>
      </c>
    </row>
    <row r="534" spans="1:4" x14ac:dyDescent="0.35">
      <c r="A534" t="s">
        <v>19</v>
      </c>
      <c r="B534">
        <v>2012</v>
      </c>
      <c r="C534" t="s">
        <v>4</v>
      </c>
      <c r="D534" s="1">
        <v>148604.93481970593</v>
      </c>
    </row>
    <row r="535" spans="1:4" x14ac:dyDescent="0.35">
      <c r="A535" t="s">
        <v>19</v>
      </c>
      <c r="B535">
        <v>2013</v>
      </c>
      <c r="C535" t="s">
        <v>4</v>
      </c>
      <c r="D535" s="1">
        <v>154451.39556112519</v>
      </c>
    </row>
    <row r="536" spans="1:4" x14ac:dyDescent="0.35">
      <c r="A536" t="s">
        <v>19</v>
      </c>
      <c r="B536">
        <v>2014</v>
      </c>
      <c r="C536" t="s">
        <v>4</v>
      </c>
      <c r="D536" s="1">
        <v>159547.17337929795</v>
      </c>
    </row>
    <row r="537" spans="1:4" x14ac:dyDescent="0.35">
      <c r="A537" t="s">
        <v>19</v>
      </c>
      <c r="B537">
        <v>2015</v>
      </c>
      <c r="C537" t="s">
        <v>4</v>
      </c>
      <c r="D537" s="1">
        <v>162920.62314506006</v>
      </c>
    </row>
    <row r="538" spans="1:4" x14ac:dyDescent="0.35">
      <c r="A538" t="s">
        <v>19</v>
      </c>
      <c r="B538">
        <v>2016</v>
      </c>
      <c r="C538" t="s">
        <v>4</v>
      </c>
      <c r="D538" s="1">
        <v>165988.27589197247</v>
      </c>
    </row>
    <row r="539" spans="1:4" x14ac:dyDescent="0.35">
      <c r="A539" t="s">
        <v>19</v>
      </c>
      <c r="B539">
        <v>2017</v>
      </c>
      <c r="C539" t="s">
        <v>4</v>
      </c>
      <c r="D539" s="1">
        <v>173553.86073778095</v>
      </c>
    </row>
    <row r="540" spans="1:4" x14ac:dyDescent="0.35">
      <c r="A540" t="s">
        <v>19</v>
      </c>
      <c r="B540">
        <v>2018</v>
      </c>
      <c r="C540" t="s">
        <v>4</v>
      </c>
      <c r="D540" s="1">
        <v>178456.84995213518</v>
      </c>
    </row>
    <row r="541" spans="1:4" x14ac:dyDescent="0.35">
      <c r="A541" t="s">
        <v>19</v>
      </c>
      <c r="B541">
        <v>2019</v>
      </c>
      <c r="C541" t="s">
        <v>4</v>
      </c>
      <c r="D541" s="1">
        <v>187501.46494356907</v>
      </c>
    </row>
    <row r="542" spans="1:4" x14ac:dyDescent="0.35">
      <c r="A542" t="s">
        <v>19</v>
      </c>
      <c r="B542">
        <v>2020</v>
      </c>
      <c r="C542" t="s">
        <v>4</v>
      </c>
      <c r="D542" s="1">
        <v>196199.57281192709</v>
      </c>
    </row>
    <row r="543" spans="1:4" x14ac:dyDescent="0.35">
      <c r="A543" t="s">
        <v>19</v>
      </c>
      <c r="B543">
        <v>2021</v>
      </c>
      <c r="C543" t="s">
        <v>4</v>
      </c>
      <c r="D543" s="1">
        <v>200328.07890115003</v>
      </c>
    </row>
    <row r="544" spans="1:4" x14ac:dyDescent="0.35">
      <c r="A544" t="s">
        <v>19</v>
      </c>
      <c r="B544">
        <v>2022</v>
      </c>
      <c r="C544" t="s">
        <v>4</v>
      </c>
      <c r="D544" s="1">
        <v>201870.9445580031</v>
      </c>
    </row>
    <row r="545" spans="1:4" x14ac:dyDescent="0.35">
      <c r="A545" t="s">
        <v>19</v>
      </c>
      <c r="B545">
        <v>2023</v>
      </c>
      <c r="C545" t="s">
        <v>4</v>
      </c>
      <c r="D545" s="1">
        <v>204727.49851364389</v>
      </c>
    </row>
    <row r="546" spans="1:4" x14ac:dyDescent="0.35">
      <c r="A546" t="s">
        <v>20</v>
      </c>
      <c r="B546">
        <v>1990</v>
      </c>
      <c r="C546" t="s">
        <v>4</v>
      </c>
      <c r="D546" s="1">
        <v>44076.376547142121</v>
      </c>
    </row>
    <row r="547" spans="1:4" x14ac:dyDescent="0.35">
      <c r="A547" t="s">
        <v>20</v>
      </c>
      <c r="B547">
        <v>1991</v>
      </c>
      <c r="C547" t="s">
        <v>4</v>
      </c>
      <c r="D547" s="1">
        <v>44764.253186254573</v>
      </c>
    </row>
    <row r="548" spans="1:4" x14ac:dyDescent="0.35">
      <c r="A548" t="s">
        <v>20</v>
      </c>
      <c r="B548">
        <v>1992</v>
      </c>
      <c r="C548" t="s">
        <v>4</v>
      </c>
      <c r="D548" s="1">
        <v>45375.671892941005</v>
      </c>
    </row>
    <row r="549" spans="1:4" x14ac:dyDescent="0.35">
      <c r="A549" t="s">
        <v>20</v>
      </c>
      <c r="B549">
        <v>1993</v>
      </c>
      <c r="C549" t="s">
        <v>4</v>
      </c>
      <c r="D549" s="1">
        <v>46625.533016008878</v>
      </c>
    </row>
    <row r="550" spans="1:4" x14ac:dyDescent="0.35">
      <c r="A550" t="s">
        <v>20</v>
      </c>
      <c r="B550">
        <v>1994</v>
      </c>
      <c r="C550" t="s">
        <v>4</v>
      </c>
      <c r="D550" s="1">
        <v>47564.30450218144</v>
      </c>
    </row>
    <row r="551" spans="1:4" x14ac:dyDescent="0.35">
      <c r="A551" t="s">
        <v>20</v>
      </c>
      <c r="B551">
        <v>1995</v>
      </c>
      <c r="C551" t="s">
        <v>4</v>
      </c>
      <c r="D551" s="1">
        <v>48075.974683916284</v>
      </c>
    </row>
    <row r="552" spans="1:4" x14ac:dyDescent="0.35">
      <c r="A552" t="s">
        <v>20</v>
      </c>
      <c r="B552">
        <v>1996</v>
      </c>
      <c r="C552" t="s">
        <v>4</v>
      </c>
      <c r="D552" s="1">
        <v>49501.199761373799</v>
      </c>
    </row>
    <row r="553" spans="1:4" x14ac:dyDescent="0.35">
      <c r="A553" t="s">
        <v>20</v>
      </c>
      <c r="B553">
        <v>1997</v>
      </c>
      <c r="C553" t="s">
        <v>4</v>
      </c>
      <c r="D553" s="1">
        <v>51518.860326515409</v>
      </c>
    </row>
    <row r="554" spans="1:4" x14ac:dyDescent="0.35">
      <c r="A554" t="s">
        <v>20</v>
      </c>
      <c r="B554">
        <v>1998</v>
      </c>
      <c r="C554" t="s">
        <v>4</v>
      </c>
      <c r="D554" s="1">
        <v>53500.940967830902</v>
      </c>
    </row>
    <row r="555" spans="1:4" x14ac:dyDescent="0.35">
      <c r="A555" t="s">
        <v>20</v>
      </c>
      <c r="B555">
        <v>1999</v>
      </c>
      <c r="C555" t="s">
        <v>4</v>
      </c>
      <c r="D555" s="1">
        <v>56008.979448249382</v>
      </c>
    </row>
    <row r="556" spans="1:4" x14ac:dyDescent="0.35">
      <c r="A556" t="s">
        <v>20</v>
      </c>
      <c r="B556">
        <v>2000</v>
      </c>
      <c r="C556" t="s">
        <v>4</v>
      </c>
      <c r="D556" s="1">
        <v>60239.817157736157</v>
      </c>
    </row>
    <row r="557" spans="1:4" x14ac:dyDescent="0.35">
      <c r="A557" t="s">
        <v>20</v>
      </c>
      <c r="B557">
        <v>2001</v>
      </c>
      <c r="C557" t="s">
        <v>4</v>
      </c>
      <c r="D557" s="1">
        <v>67866.955292591301</v>
      </c>
    </row>
    <row r="558" spans="1:4" x14ac:dyDescent="0.35">
      <c r="A558" t="s">
        <v>20</v>
      </c>
      <c r="B558">
        <v>2002</v>
      </c>
      <c r="C558" t="s">
        <v>4</v>
      </c>
      <c r="D558" s="1">
        <v>69729.672893290699</v>
      </c>
    </row>
    <row r="559" spans="1:4" x14ac:dyDescent="0.35">
      <c r="A559" t="s">
        <v>20</v>
      </c>
      <c r="B559">
        <v>2003</v>
      </c>
      <c r="C559" t="s">
        <v>4</v>
      </c>
      <c r="D559" s="1">
        <v>72647.436771422479</v>
      </c>
    </row>
    <row r="560" spans="1:4" x14ac:dyDescent="0.35">
      <c r="A560" t="s">
        <v>20</v>
      </c>
      <c r="B560">
        <v>2004</v>
      </c>
      <c r="C560" t="s">
        <v>4</v>
      </c>
      <c r="D560" s="1">
        <v>73517.398199195377</v>
      </c>
    </row>
    <row r="561" spans="1:4" x14ac:dyDescent="0.35">
      <c r="A561" t="s">
        <v>20</v>
      </c>
      <c r="B561">
        <v>2005</v>
      </c>
      <c r="C561" t="s">
        <v>4</v>
      </c>
      <c r="D561" s="1">
        <v>75229.774209993426</v>
      </c>
    </row>
    <row r="562" spans="1:4" x14ac:dyDescent="0.35">
      <c r="A562" t="s">
        <v>20</v>
      </c>
      <c r="B562">
        <v>2006</v>
      </c>
      <c r="C562" t="s">
        <v>4</v>
      </c>
      <c r="D562" s="1">
        <v>76373.432595367951</v>
      </c>
    </row>
    <row r="563" spans="1:4" x14ac:dyDescent="0.35">
      <c r="A563" t="s">
        <v>20</v>
      </c>
      <c r="B563">
        <v>2007</v>
      </c>
      <c r="C563" t="s">
        <v>4</v>
      </c>
      <c r="D563" s="1">
        <v>77278.694743527332</v>
      </c>
    </row>
    <row r="564" spans="1:4" x14ac:dyDescent="0.35">
      <c r="A564" t="s">
        <v>20</v>
      </c>
      <c r="B564">
        <v>2008</v>
      </c>
      <c r="C564" t="s">
        <v>4</v>
      </c>
      <c r="D564" s="1">
        <v>79391.532223922302</v>
      </c>
    </row>
    <row r="565" spans="1:4" x14ac:dyDescent="0.35">
      <c r="A565" t="s">
        <v>20</v>
      </c>
      <c r="B565">
        <v>2009</v>
      </c>
      <c r="C565" t="s">
        <v>4</v>
      </c>
      <c r="D565" s="1">
        <v>81452.562708808735</v>
      </c>
    </row>
    <row r="566" spans="1:4" x14ac:dyDescent="0.35">
      <c r="A566" t="s">
        <v>20</v>
      </c>
      <c r="B566">
        <v>2010</v>
      </c>
      <c r="C566" t="s">
        <v>4</v>
      </c>
      <c r="D566" s="1">
        <v>84438.998995285801</v>
      </c>
    </row>
    <row r="567" spans="1:4" x14ac:dyDescent="0.35">
      <c r="A567" t="s">
        <v>20</v>
      </c>
      <c r="B567">
        <v>2011</v>
      </c>
      <c r="C567" t="s">
        <v>4</v>
      </c>
      <c r="D567" s="1">
        <v>84065.609397396765</v>
      </c>
    </row>
    <row r="568" spans="1:4" x14ac:dyDescent="0.35">
      <c r="A568" t="s">
        <v>20</v>
      </c>
      <c r="B568">
        <v>2012</v>
      </c>
      <c r="C568" t="s">
        <v>4</v>
      </c>
      <c r="D568" s="1">
        <v>86157.813170869355</v>
      </c>
    </row>
    <row r="569" spans="1:4" x14ac:dyDescent="0.35">
      <c r="A569" t="s">
        <v>20</v>
      </c>
      <c r="B569">
        <v>2013</v>
      </c>
      <c r="C569" t="s">
        <v>4</v>
      </c>
      <c r="D569" s="1">
        <v>89355.660696280407</v>
      </c>
    </row>
    <row r="570" spans="1:4" x14ac:dyDescent="0.35">
      <c r="A570" t="s">
        <v>20</v>
      </c>
      <c r="B570">
        <v>2014</v>
      </c>
      <c r="C570" t="s">
        <v>4</v>
      </c>
      <c r="D570" s="1">
        <v>91963.202179320826</v>
      </c>
    </row>
    <row r="571" spans="1:4" x14ac:dyDescent="0.35">
      <c r="A571" t="s">
        <v>20</v>
      </c>
      <c r="B571">
        <v>2015</v>
      </c>
      <c r="C571" t="s">
        <v>4</v>
      </c>
      <c r="D571" s="1">
        <v>95060.110885469578</v>
      </c>
    </row>
    <row r="572" spans="1:4" x14ac:dyDescent="0.35">
      <c r="A572" t="s">
        <v>20</v>
      </c>
      <c r="B572">
        <v>2016</v>
      </c>
      <c r="C572" t="s">
        <v>4</v>
      </c>
      <c r="D572" s="1">
        <v>97512.905856814963</v>
      </c>
    </row>
    <row r="573" spans="1:4" x14ac:dyDescent="0.35">
      <c r="A573" t="s">
        <v>20</v>
      </c>
      <c r="B573">
        <v>2017</v>
      </c>
      <c r="C573" t="s">
        <v>4</v>
      </c>
      <c r="D573" s="1">
        <v>102035.21535104496</v>
      </c>
    </row>
    <row r="574" spans="1:4" x14ac:dyDescent="0.35">
      <c r="A574" t="s">
        <v>20</v>
      </c>
      <c r="B574">
        <v>2018</v>
      </c>
      <c r="C574" t="s">
        <v>4</v>
      </c>
      <c r="D574" s="1">
        <v>105552.00599117523</v>
      </c>
    </row>
    <row r="575" spans="1:4" x14ac:dyDescent="0.35">
      <c r="A575" t="s">
        <v>20</v>
      </c>
      <c r="B575">
        <v>2019</v>
      </c>
      <c r="C575" t="s">
        <v>4</v>
      </c>
      <c r="D575" s="1">
        <v>109418.66789106044</v>
      </c>
    </row>
    <row r="576" spans="1:4" x14ac:dyDescent="0.35">
      <c r="A576" t="s">
        <v>20</v>
      </c>
      <c r="B576">
        <v>2020</v>
      </c>
      <c r="C576" t="s">
        <v>4</v>
      </c>
      <c r="D576" s="1">
        <v>115552.07681600566</v>
      </c>
    </row>
    <row r="577" spans="1:4" x14ac:dyDescent="0.35">
      <c r="A577" t="s">
        <v>20</v>
      </c>
      <c r="B577">
        <v>2021</v>
      </c>
      <c r="C577" t="s">
        <v>4</v>
      </c>
      <c r="D577" s="1">
        <v>124793.2788690358</v>
      </c>
    </row>
    <row r="578" spans="1:4" x14ac:dyDescent="0.35">
      <c r="A578" t="s">
        <v>20</v>
      </c>
      <c r="B578">
        <v>2022</v>
      </c>
      <c r="C578" t="s">
        <v>4</v>
      </c>
      <c r="D578" s="1">
        <v>106801.71035422052</v>
      </c>
    </row>
    <row r="579" spans="1:4" x14ac:dyDescent="0.35">
      <c r="A579" t="s">
        <v>20</v>
      </c>
      <c r="B579">
        <v>2023</v>
      </c>
      <c r="C579" t="s">
        <v>4</v>
      </c>
      <c r="D579" s="1">
        <v>111784.28352522908</v>
      </c>
    </row>
    <row r="580" spans="1:4" x14ac:dyDescent="0.35">
      <c r="A580" t="s">
        <v>21</v>
      </c>
      <c r="B580">
        <v>1990</v>
      </c>
      <c r="C580" t="s">
        <v>4</v>
      </c>
      <c r="D580" s="1">
        <v>35791.88032142922</v>
      </c>
    </row>
    <row r="581" spans="1:4" x14ac:dyDescent="0.35">
      <c r="A581" t="s">
        <v>21</v>
      </c>
      <c r="B581">
        <v>1991</v>
      </c>
      <c r="C581" t="s">
        <v>4</v>
      </c>
      <c r="D581" s="1">
        <v>36111.437251082076</v>
      </c>
    </row>
    <row r="582" spans="1:4" x14ac:dyDescent="0.35">
      <c r="A582" t="s">
        <v>21</v>
      </c>
      <c r="B582">
        <v>1992</v>
      </c>
      <c r="C582" t="s">
        <v>4</v>
      </c>
      <c r="D582" s="1">
        <v>36308.736581632569</v>
      </c>
    </row>
    <row r="583" spans="1:4" x14ac:dyDescent="0.35">
      <c r="A583" t="s">
        <v>21</v>
      </c>
      <c r="B583">
        <v>1993</v>
      </c>
      <c r="C583" t="s">
        <v>4</v>
      </c>
      <c r="D583" s="1">
        <v>36330.632468037111</v>
      </c>
    </row>
    <row r="584" spans="1:4" x14ac:dyDescent="0.35">
      <c r="A584" t="s">
        <v>21</v>
      </c>
      <c r="B584">
        <v>1994</v>
      </c>
      <c r="C584" t="s">
        <v>4</v>
      </c>
      <c r="D584" s="1">
        <v>36472.855908214355</v>
      </c>
    </row>
    <row r="585" spans="1:4" x14ac:dyDescent="0.35">
      <c r="A585" t="s">
        <v>21</v>
      </c>
      <c r="B585">
        <v>1995</v>
      </c>
      <c r="C585" t="s">
        <v>4</v>
      </c>
      <c r="D585" s="1">
        <v>36797.856542190209</v>
      </c>
    </row>
    <row r="586" spans="1:4" x14ac:dyDescent="0.35">
      <c r="A586" t="s">
        <v>21</v>
      </c>
      <c r="B586">
        <v>1996</v>
      </c>
      <c r="C586" t="s">
        <v>4</v>
      </c>
      <c r="D586" s="1">
        <v>37694.738837618264</v>
      </c>
    </row>
    <row r="587" spans="1:4" x14ac:dyDescent="0.35">
      <c r="A587" t="s">
        <v>21</v>
      </c>
      <c r="B587">
        <v>1997</v>
      </c>
      <c r="C587" t="s">
        <v>4</v>
      </c>
      <c r="D587" s="1">
        <v>38485.287047063241</v>
      </c>
    </row>
    <row r="588" spans="1:4" x14ac:dyDescent="0.35">
      <c r="A588" t="s">
        <v>21</v>
      </c>
      <c r="B588">
        <v>1998</v>
      </c>
      <c r="C588" t="s">
        <v>4</v>
      </c>
      <c r="D588" s="1">
        <v>39385.679821195037</v>
      </c>
    </row>
    <row r="589" spans="1:4" x14ac:dyDescent="0.35">
      <c r="A589" t="s">
        <v>21</v>
      </c>
      <c r="B589">
        <v>1999</v>
      </c>
      <c r="C589" t="s">
        <v>4</v>
      </c>
      <c r="D589" s="1">
        <v>40846.334611620128</v>
      </c>
    </row>
    <row r="590" spans="1:4" x14ac:dyDescent="0.35">
      <c r="A590" t="s">
        <v>21</v>
      </c>
      <c r="B590">
        <v>2000</v>
      </c>
      <c r="C590" t="s">
        <v>4</v>
      </c>
      <c r="D590" s="1">
        <v>42849.588292365544</v>
      </c>
    </row>
    <row r="591" spans="1:4" x14ac:dyDescent="0.35">
      <c r="A591" t="s">
        <v>21</v>
      </c>
      <c r="B591">
        <v>2001</v>
      </c>
      <c r="C591" t="s">
        <v>4</v>
      </c>
      <c r="D591" s="1">
        <v>45458.899402549003</v>
      </c>
    </row>
    <row r="592" spans="1:4" x14ac:dyDescent="0.35">
      <c r="A592" t="s">
        <v>21</v>
      </c>
      <c r="B592">
        <v>2002</v>
      </c>
      <c r="C592" t="s">
        <v>4</v>
      </c>
      <c r="D592" s="1">
        <v>47777.879510586128</v>
      </c>
    </row>
    <row r="593" spans="1:4" x14ac:dyDescent="0.35">
      <c r="A593" t="s">
        <v>21</v>
      </c>
      <c r="B593">
        <v>2003</v>
      </c>
      <c r="C593" t="s">
        <v>4</v>
      </c>
      <c r="D593" s="1">
        <v>49480.786774874541</v>
      </c>
    </row>
    <row r="594" spans="1:4" x14ac:dyDescent="0.35">
      <c r="A594" t="s">
        <v>21</v>
      </c>
      <c r="B594">
        <v>2004</v>
      </c>
      <c r="C594" t="s">
        <v>4</v>
      </c>
      <c r="D594" s="1">
        <v>51315.988020970421</v>
      </c>
    </row>
    <row r="595" spans="1:4" x14ac:dyDescent="0.35">
      <c r="A595" t="s">
        <v>21</v>
      </c>
      <c r="B595">
        <v>2005</v>
      </c>
      <c r="C595" t="s">
        <v>4</v>
      </c>
      <c r="D595" s="1">
        <v>53338.589283055742</v>
      </c>
    </row>
    <row r="596" spans="1:4" x14ac:dyDescent="0.35">
      <c r="A596" t="s">
        <v>21</v>
      </c>
      <c r="B596">
        <v>2006</v>
      </c>
      <c r="C596" t="s">
        <v>4</v>
      </c>
      <c r="D596" s="1">
        <v>55593.501220158127</v>
      </c>
    </row>
    <row r="597" spans="1:4" x14ac:dyDescent="0.35">
      <c r="A597" t="s">
        <v>21</v>
      </c>
      <c r="B597">
        <v>2007</v>
      </c>
      <c r="C597" t="s">
        <v>4</v>
      </c>
      <c r="D597" s="1">
        <v>57962.298187355031</v>
      </c>
    </row>
    <row r="598" spans="1:4" x14ac:dyDescent="0.35">
      <c r="A598" t="s">
        <v>21</v>
      </c>
      <c r="B598">
        <v>2008</v>
      </c>
      <c r="C598" t="s">
        <v>4</v>
      </c>
      <c r="D598" s="1">
        <v>60319.536880394633</v>
      </c>
    </row>
    <row r="599" spans="1:4" x14ac:dyDescent="0.35">
      <c r="A599" t="s">
        <v>21</v>
      </c>
      <c r="B599">
        <v>2009</v>
      </c>
      <c r="C599" t="s">
        <v>4</v>
      </c>
      <c r="D599" s="1">
        <v>62677.444176110155</v>
      </c>
    </row>
    <row r="600" spans="1:4" x14ac:dyDescent="0.35">
      <c r="A600" t="s">
        <v>21</v>
      </c>
      <c r="B600">
        <v>2010</v>
      </c>
      <c r="C600" t="s">
        <v>4</v>
      </c>
      <c r="D600" s="1">
        <v>65192.955874708321</v>
      </c>
    </row>
    <row r="601" spans="1:4" x14ac:dyDescent="0.35">
      <c r="A601" t="s">
        <v>21</v>
      </c>
      <c r="B601">
        <v>2011</v>
      </c>
      <c r="C601" t="s">
        <v>4</v>
      </c>
      <c r="D601" s="1">
        <v>68673.145562961829</v>
      </c>
    </row>
    <row r="602" spans="1:4" x14ac:dyDescent="0.35">
      <c r="A602" t="s">
        <v>21</v>
      </c>
      <c r="B602">
        <v>2012</v>
      </c>
      <c r="C602" t="s">
        <v>4</v>
      </c>
      <c r="D602" s="1">
        <v>71811.893618272486</v>
      </c>
    </row>
    <row r="603" spans="1:4" x14ac:dyDescent="0.35">
      <c r="A603" t="s">
        <v>21</v>
      </c>
      <c r="B603">
        <v>2013</v>
      </c>
      <c r="C603" t="s">
        <v>4</v>
      </c>
      <c r="D603" s="1">
        <v>74346.862529031394</v>
      </c>
    </row>
    <row r="604" spans="1:4" x14ac:dyDescent="0.35">
      <c r="A604" t="s">
        <v>21</v>
      </c>
      <c r="B604">
        <v>2014</v>
      </c>
      <c r="C604" t="s">
        <v>4</v>
      </c>
      <c r="D604" s="1">
        <v>76497.637552617365</v>
      </c>
    </row>
    <row r="605" spans="1:4" x14ac:dyDescent="0.35">
      <c r="A605" t="s">
        <v>21</v>
      </c>
      <c r="B605">
        <v>2015</v>
      </c>
      <c r="C605" t="s">
        <v>4</v>
      </c>
      <c r="D605" s="1">
        <v>80717.136891713846</v>
      </c>
    </row>
    <row r="606" spans="1:4" x14ac:dyDescent="0.35">
      <c r="A606" t="s">
        <v>21</v>
      </c>
      <c r="B606">
        <v>2016</v>
      </c>
      <c r="C606" t="s">
        <v>4</v>
      </c>
      <c r="D606" s="1">
        <v>84596.18333042931</v>
      </c>
    </row>
    <row r="607" spans="1:4" x14ac:dyDescent="0.35">
      <c r="A607" t="s">
        <v>21</v>
      </c>
      <c r="B607">
        <v>2017</v>
      </c>
      <c r="C607" t="s">
        <v>4</v>
      </c>
      <c r="D607" s="1">
        <v>88354.510396160142</v>
      </c>
    </row>
    <row r="608" spans="1:4" x14ac:dyDescent="0.35">
      <c r="A608" t="s">
        <v>21</v>
      </c>
      <c r="B608">
        <v>2018</v>
      </c>
      <c r="C608" t="s">
        <v>4</v>
      </c>
      <c r="D608" s="1">
        <v>92426.23437686461</v>
      </c>
    </row>
    <row r="609" spans="1:4" x14ac:dyDescent="0.35">
      <c r="A609" t="s">
        <v>21</v>
      </c>
      <c r="B609">
        <v>2019</v>
      </c>
      <c r="C609" t="s">
        <v>4</v>
      </c>
      <c r="D609" s="1">
        <v>96632.611161208217</v>
      </c>
    </row>
    <row r="610" spans="1:4" x14ac:dyDescent="0.35">
      <c r="A610" t="s">
        <v>21</v>
      </c>
      <c r="B610">
        <v>2020</v>
      </c>
      <c r="C610" t="s">
        <v>4</v>
      </c>
      <c r="D610" s="1">
        <v>103927.49079805442</v>
      </c>
    </row>
    <row r="611" spans="1:4" x14ac:dyDescent="0.35">
      <c r="A611" t="s">
        <v>21</v>
      </c>
      <c r="B611">
        <v>2021</v>
      </c>
      <c r="C611" t="s">
        <v>4</v>
      </c>
      <c r="D611" s="1">
        <v>108163.0505677231</v>
      </c>
    </row>
    <row r="612" spans="1:4" x14ac:dyDescent="0.35">
      <c r="A612" t="s">
        <v>21</v>
      </c>
      <c r="B612">
        <v>2022</v>
      </c>
      <c r="C612" t="s">
        <v>4</v>
      </c>
      <c r="D612" s="1">
        <v>111823.10036815635</v>
      </c>
    </row>
    <row r="613" spans="1:4" x14ac:dyDescent="0.35">
      <c r="A613" t="s">
        <v>21</v>
      </c>
      <c r="B613">
        <v>2023</v>
      </c>
      <c r="C613" t="s">
        <v>4</v>
      </c>
      <c r="D613" s="1">
        <v>115617.13065630598</v>
      </c>
    </row>
    <row r="614" spans="1:4" x14ac:dyDescent="0.35">
      <c r="A614" t="s">
        <v>22</v>
      </c>
      <c r="B614">
        <v>1990</v>
      </c>
      <c r="C614" t="s">
        <v>4</v>
      </c>
      <c r="D614" s="1">
        <v>19885.956849180991</v>
      </c>
    </row>
    <row r="615" spans="1:4" x14ac:dyDescent="0.35">
      <c r="A615" t="s">
        <v>22</v>
      </c>
      <c r="B615">
        <v>1991</v>
      </c>
      <c r="C615" t="s">
        <v>4</v>
      </c>
      <c r="D615" s="1">
        <v>20517.382784281421</v>
      </c>
    </row>
    <row r="616" spans="1:4" x14ac:dyDescent="0.35">
      <c r="A616" t="s">
        <v>22</v>
      </c>
      <c r="B616">
        <v>1992</v>
      </c>
      <c r="C616" t="s">
        <v>4</v>
      </c>
      <c r="D616" s="1">
        <v>21188.05034573111</v>
      </c>
    </row>
    <row r="617" spans="1:4" x14ac:dyDescent="0.35">
      <c r="A617" t="s">
        <v>22</v>
      </c>
      <c r="B617">
        <v>1993</v>
      </c>
      <c r="C617" t="s">
        <v>4</v>
      </c>
      <c r="D617" s="1">
        <v>22070.63773391474</v>
      </c>
    </row>
    <row r="618" spans="1:4" x14ac:dyDescent="0.35">
      <c r="A618" t="s">
        <v>22</v>
      </c>
      <c r="B618">
        <v>1994</v>
      </c>
      <c r="C618" t="s">
        <v>4</v>
      </c>
      <c r="D618" s="1">
        <v>22986.771031879445</v>
      </c>
    </row>
    <row r="619" spans="1:4" x14ac:dyDescent="0.35">
      <c r="A619" t="s">
        <v>22</v>
      </c>
      <c r="B619">
        <v>1995</v>
      </c>
      <c r="C619" t="s">
        <v>4</v>
      </c>
      <c r="D619" s="1">
        <v>23816.926889375616</v>
      </c>
    </row>
    <row r="620" spans="1:4" x14ac:dyDescent="0.35">
      <c r="A620" t="s">
        <v>22</v>
      </c>
      <c r="B620">
        <v>1996</v>
      </c>
      <c r="C620" t="s">
        <v>4</v>
      </c>
      <c r="D620" s="1">
        <v>24938.836306211007</v>
      </c>
    </row>
    <row r="621" spans="1:4" x14ac:dyDescent="0.35">
      <c r="A621" t="s">
        <v>22</v>
      </c>
      <c r="B621">
        <v>1997</v>
      </c>
      <c r="C621" t="s">
        <v>4</v>
      </c>
      <c r="D621" s="1">
        <v>25973.411172886572</v>
      </c>
    </row>
    <row r="622" spans="1:4" x14ac:dyDescent="0.35">
      <c r="A622" t="s">
        <v>22</v>
      </c>
      <c r="B622">
        <v>1998</v>
      </c>
      <c r="C622" t="s">
        <v>4</v>
      </c>
      <c r="D622" s="1">
        <v>26958.781716558729</v>
      </c>
    </row>
    <row r="623" spans="1:4" x14ac:dyDescent="0.35">
      <c r="A623" t="s">
        <v>22</v>
      </c>
      <c r="B623">
        <v>1999</v>
      </c>
      <c r="C623" t="s">
        <v>4</v>
      </c>
      <c r="D623" s="1">
        <v>28051.050177228273</v>
      </c>
    </row>
    <row r="624" spans="1:4" x14ac:dyDescent="0.35">
      <c r="A624" t="s">
        <v>22</v>
      </c>
      <c r="B624">
        <v>2000</v>
      </c>
      <c r="C624" t="s">
        <v>4</v>
      </c>
      <c r="D624" s="1">
        <v>29089.060318095799</v>
      </c>
    </row>
    <row r="625" spans="1:4" x14ac:dyDescent="0.35">
      <c r="A625" t="s">
        <v>22</v>
      </c>
      <c r="B625">
        <v>2001</v>
      </c>
      <c r="C625" t="s">
        <v>4</v>
      </c>
      <c r="D625" s="1">
        <v>30263.062168373264</v>
      </c>
    </row>
    <row r="626" spans="1:4" x14ac:dyDescent="0.35">
      <c r="A626" t="s">
        <v>22</v>
      </c>
      <c r="B626">
        <v>2002</v>
      </c>
      <c r="C626" t="s">
        <v>4</v>
      </c>
      <c r="D626" s="1">
        <v>31711.258305316147</v>
      </c>
    </row>
    <row r="627" spans="1:4" x14ac:dyDescent="0.35">
      <c r="A627" t="s">
        <v>22</v>
      </c>
      <c r="B627">
        <v>2003</v>
      </c>
      <c r="C627" t="s">
        <v>4</v>
      </c>
      <c r="D627" s="1">
        <v>33173.170130865707</v>
      </c>
    </row>
    <row r="628" spans="1:4" x14ac:dyDescent="0.35">
      <c r="A628" t="s">
        <v>22</v>
      </c>
      <c r="B628">
        <v>2004</v>
      </c>
      <c r="C628" t="s">
        <v>4</v>
      </c>
      <c r="D628" s="1">
        <v>34608.649449003096</v>
      </c>
    </row>
    <row r="629" spans="1:4" x14ac:dyDescent="0.35">
      <c r="A629" t="s">
        <v>22</v>
      </c>
      <c r="B629">
        <v>2005</v>
      </c>
      <c r="C629" t="s">
        <v>4</v>
      </c>
      <c r="D629" s="1">
        <v>35747.221330693137</v>
      </c>
    </row>
    <row r="630" spans="1:4" x14ac:dyDescent="0.35">
      <c r="A630" t="s">
        <v>22</v>
      </c>
      <c r="B630">
        <v>2006</v>
      </c>
      <c r="C630" t="s">
        <v>4</v>
      </c>
      <c r="D630" s="1">
        <v>36854.315514299589</v>
      </c>
    </row>
    <row r="631" spans="1:4" x14ac:dyDescent="0.35">
      <c r="A631" t="s">
        <v>22</v>
      </c>
      <c r="B631">
        <v>2007</v>
      </c>
      <c r="C631" t="s">
        <v>4</v>
      </c>
      <c r="D631" s="1">
        <v>37944.229357003576</v>
      </c>
    </row>
    <row r="632" spans="1:4" x14ac:dyDescent="0.35">
      <c r="A632" t="s">
        <v>22</v>
      </c>
      <c r="B632">
        <v>2008</v>
      </c>
      <c r="C632" t="s">
        <v>4</v>
      </c>
      <c r="D632" s="1">
        <v>39111.444675438986</v>
      </c>
    </row>
    <row r="633" spans="1:4" x14ac:dyDescent="0.35">
      <c r="A633" t="s">
        <v>22</v>
      </c>
      <c r="B633">
        <v>2009</v>
      </c>
      <c r="C633" t="s">
        <v>4</v>
      </c>
      <c r="D633" s="1">
        <v>40345.552673315287</v>
      </c>
    </row>
    <row r="634" spans="1:4" x14ac:dyDescent="0.35">
      <c r="A634" t="s">
        <v>22</v>
      </c>
      <c r="B634">
        <v>2010</v>
      </c>
      <c r="C634" t="s">
        <v>4</v>
      </c>
      <c r="D634" s="1">
        <v>41899.811429622765</v>
      </c>
    </row>
    <row r="635" spans="1:4" x14ac:dyDescent="0.35">
      <c r="A635" t="s">
        <v>22</v>
      </c>
      <c r="B635">
        <v>2011</v>
      </c>
      <c r="C635" t="s">
        <v>4</v>
      </c>
      <c r="D635" s="1">
        <v>44007.732097612097</v>
      </c>
    </row>
    <row r="636" spans="1:4" x14ac:dyDescent="0.35">
      <c r="A636" t="s">
        <v>22</v>
      </c>
      <c r="B636">
        <v>2012</v>
      </c>
      <c r="C636" t="s">
        <v>4</v>
      </c>
      <c r="D636" s="1">
        <v>47721.391999134685</v>
      </c>
    </row>
    <row r="637" spans="1:4" x14ac:dyDescent="0.35">
      <c r="A637" t="s">
        <v>22</v>
      </c>
      <c r="B637">
        <v>2013</v>
      </c>
      <c r="C637" t="s">
        <v>4</v>
      </c>
      <c r="D637" s="1">
        <v>49316.975255333011</v>
      </c>
    </row>
    <row r="638" spans="1:4" x14ac:dyDescent="0.35">
      <c r="A638" t="s">
        <v>22</v>
      </c>
      <c r="B638">
        <v>2014</v>
      </c>
      <c r="C638" t="s">
        <v>4</v>
      </c>
      <c r="D638" s="1">
        <v>51074.852620459664</v>
      </c>
    </row>
    <row r="639" spans="1:4" x14ac:dyDescent="0.35">
      <c r="A639" t="s">
        <v>22</v>
      </c>
      <c r="B639">
        <v>2015</v>
      </c>
      <c r="C639" t="s">
        <v>4</v>
      </c>
      <c r="D639" s="1">
        <v>52807.937579138059</v>
      </c>
    </row>
    <row r="640" spans="1:4" x14ac:dyDescent="0.35">
      <c r="A640" t="s">
        <v>22</v>
      </c>
      <c r="B640">
        <v>2016</v>
      </c>
      <c r="C640" t="s">
        <v>4</v>
      </c>
      <c r="D640" s="1">
        <v>53870.338318611575</v>
      </c>
    </row>
    <row r="641" spans="1:4" x14ac:dyDescent="0.35">
      <c r="A641" t="s">
        <v>22</v>
      </c>
      <c r="B641">
        <v>2017</v>
      </c>
      <c r="C641" t="s">
        <v>4</v>
      </c>
      <c r="D641" s="1">
        <v>55703.740175126564</v>
      </c>
    </row>
    <row r="642" spans="1:4" x14ac:dyDescent="0.35">
      <c r="A642" t="s">
        <v>22</v>
      </c>
      <c r="B642">
        <v>2018</v>
      </c>
      <c r="C642" t="s">
        <v>4</v>
      </c>
      <c r="D642" s="1">
        <v>57853.167606622403</v>
      </c>
    </row>
    <row r="643" spans="1:4" x14ac:dyDescent="0.35">
      <c r="A643" t="s">
        <v>22</v>
      </c>
      <c r="B643">
        <v>2019</v>
      </c>
      <c r="C643" t="s">
        <v>4</v>
      </c>
      <c r="D643" s="1">
        <v>59925.130575886731</v>
      </c>
    </row>
    <row r="644" spans="1:4" x14ac:dyDescent="0.35">
      <c r="A644" t="s">
        <v>22</v>
      </c>
      <c r="B644">
        <v>2020</v>
      </c>
      <c r="C644" t="s">
        <v>4</v>
      </c>
      <c r="D644" s="1">
        <v>58917.10143783188</v>
      </c>
    </row>
    <row r="645" spans="1:4" x14ac:dyDescent="0.35">
      <c r="A645" t="s">
        <v>22</v>
      </c>
      <c r="B645">
        <v>2021</v>
      </c>
      <c r="C645" t="s">
        <v>4</v>
      </c>
      <c r="D645" s="1">
        <v>63782.362527395337</v>
      </c>
    </row>
    <row r="646" spans="1:4" x14ac:dyDescent="0.35">
      <c r="A646" t="s">
        <v>22</v>
      </c>
      <c r="B646">
        <v>2022</v>
      </c>
      <c r="C646" t="s">
        <v>4</v>
      </c>
      <c r="D646" s="1">
        <v>65155.183876798998</v>
      </c>
    </row>
    <row r="647" spans="1:4" x14ac:dyDescent="0.35">
      <c r="A647" t="s">
        <v>22</v>
      </c>
      <c r="B647">
        <v>2023</v>
      </c>
      <c r="C647" t="s">
        <v>4</v>
      </c>
      <c r="D647" s="1">
        <v>66828.741802275254</v>
      </c>
    </row>
  </sheetData>
  <autoFilter ref="N1:U22" xr:uid="{57B631DA-3712-408F-B7CF-BB67B8E2271E}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F73916-9670-4C0C-B6EF-5CB2981FD2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GBD_America_Latina_2023_pacient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Priscila Gutierrez Sidoli</cp:lastModifiedBy>
  <dcterms:created xsi:type="dcterms:W3CDTF">2026-02-24T21:33:00Z</dcterms:created>
  <dcterms:modified xsi:type="dcterms:W3CDTF">2026-03-01T02:43:04Z</dcterms:modified>
</cp:coreProperties>
</file>